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scador rápido" sheetId="1" r:id="rId1"/>
    <sheet name="Personas" sheetId="2" r:id="rId2"/>
  </sheets>
  <calcPr calcId="191029" calcMode="auto" fullCalcOnLoad="1" forceFullCalc="1"/>
</workbook>
</file>

<file path=xl/styles.xml><?xml version="1.0" encoding="utf-8"?>
<styleSheet xmlns="http://schemas.openxmlformats.org/spreadsheetml/2006/main">
  <fonts count="5">
    <font>
      <sz val="11"/>
      <color rgb="FFF5F2F8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color rgb="FF39D98A"/>
      <name val="Calibri"/>
    </font>
    <font>
      <b/>
      <sz val="11"/>
      <color rgb="FFFFC85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9070D"/>
      </patternFill>
    </fill>
    <fill>
      <patternFill patternType="solid">
        <fgColor rgb="FFA84CFF"/>
      </patternFill>
    </fill>
    <fill>
      <patternFill patternType="solid">
        <fgColor rgb="FF17131F"/>
      </patternFill>
    </fill>
    <fill>
      <patternFill patternType="solid">
        <fgColor rgb="FF173C2B"/>
      </patternFill>
    </fill>
    <fill>
      <patternFill patternType="solid">
        <fgColor rgb="FF392E12"/>
      </patternFill>
    </fill>
  </fills>
  <borders count="2">
    <border>
      <left/>
      <right/>
      <top/>
      <bottom/>
      <diagonal/>
    </border>
    <border>
      <left style="thin">
        <color rgb="FF3B3444"/>
      </left>
      <right style="thin">
        <color rgb="FF3B3444"/>
      </right>
      <top style="thin">
        <color rgb="FF3B3444"/>
      </top>
      <bottom style="thin">
        <color rgb="FF3B344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4" borderId="1" xfId="0" applyAlignment="1">
      <alignment vertical="center"/>
    </xf>
    <xf numFmtId="0" fontId="1" fillId="3" borderId="1" xfId="0" applyAlignment="1">
      <alignment horizontal="center" vertical="center" wrapText="1"/>
    </xf>
    <xf numFmtId="0" fontId="3" fillId="5" borderId="1" xfId="0" applyAlignment="1">
      <alignment horizontal="center"/>
    </xf>
    <xf numFmtId="0" fontId="4" fillId="6" borderId="1" xfId="0" applyAlignment="1">
      <alignment horizontal="center"/>
    </xf>
    <xf numFmtId="0" fontId="2" fillId="2" borderId="0" xfId="0" applyAlignment="1">
      <alignment horizontal="center"/>
    </xf>
    <xf numFmtId="0" fontId="0" fillId="2" borderId="0" xfId="0"/>
    <xf numFmtId="0" fontId="1" fillId="3" borderId="1" xfId="0"/>
    <xf numFmtId="0" fontId="1" fillId="4" borderId="1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6" topLeftCell="A7" activePane="bottomLeft" state="frozen"/>
    </sheetView>
  </sheetViews>
  <cols>
    <col min="1" max="1" width="30" customWidth="1"/>
    <col min="2" max="2" width="34" customWidth="1"/>
    <col min="3" max="3" width="18" customWidth="1"/>
    <col min="4" max="4" width="14" customWidth="1"/>
    <col min="5" max="5" width="14" customWidth="1"/>
    <col min="6" max="6" width="19" customWidth="1"/>
    <col min="7" max="7" width="28" customWidth="1"/>
    <col min="8" max="8" width="2" hidden="1" customWidth="1"/>
  </cols>
  <sheetData>
    <row r="1">
      <c r="A1" t="inlineStr" s="5">
        <is>
          <t>FLOKI · BUSCADOR RÁPIDO DE PERSONAS</t>
        </is>
      </c>
    </row>
    <row r="2">
      <c r="A2" t="inlineStr" s="6">
        <is>
          <t>Evento: Floki Night</t>
        </is>
      </c>
      <c r="B2" t="inlineStr" s="6">
        <is>
          <t>Fecha: 2026-08-01</t>
        </is>
      </c>
      <c r="C2" t="inlineStr" s="6">
        <is>
          <t>Generado: 01/08/2026 01:09</t>
        </is>
      </c>
    </row>
    <row r="3">
      <c r="A3" t="inlineStr" s="7">
        <is>
          <t>Escribí un nombre</t>
        </is>
      </c>
      <c r="B3" s="8"/>
    </row>
    <row r="4">
      <c r="A4" t="inlineStr" s="6">
        <is>
          <t>El buscador muestra coincidencias de todas las listas: promotores, cumpleaños, PROMOS y Lista común.</t>
        </is>
      </c>
    </row>
    <row r="6">
      <c r="A6" t="inlineStr" s="2">
        <is>
          <t>Nombre</t>
        </is>
      </c>
      <c r="B6" t="inlineStr" s="2">
        <is>
          <t>Lista / promotor</t>
        </is>
      </c>
      <c r="C6" t="inlineStr" s="2">
        <is>
          <t>Tipo</t>
        </is>
      </c>
      <c r="D6" t="inlineStr" s="2">
        <is>
          <t>Estado</t>
        </is>
      </c>
      <c r="E6" t="inlineStr" s="2">
        <is>
          <t>Ingreso</t>
        </is>
      </c>
      <c r="F6" t="inlineStr" s="2">
        <is>
          <t>Nacimiento</t>
        </is>
      </c>
      <c r="G6" t="inlineStr" s="2">
        <is>
          <t>Detalle</t>
        </is>
      </c>
      <c r="H6" t="inlineStr" s="2">
        <is>
          <t>#</t>
        </is>
      </c>
    </row>
    <row r="7">
      <c r="A7" s="1">
        <f>IF($H7="","",IFERROR(INDEX(Personas!$A$2:$A$1001,$H7),""))</f>
        <v/>
      </c>
      <c r="B7" s="1">
        <f>IF($H7="","",IFERROR(INDEX(Personas!$B$2:$B$1001,$H7),""))</f>
        <v/>
      </c>
      <c r="C7" s="1">
        <f>IF($H7="","",IFERROR(INDEX(Personas!$C$2:$C$1001,$H7),""))</f>
        <v/>
      </c>
      <c r="D7" s="1">
        <f>IF($H7="","",IFERROR(INDEX(Personas!$D$2:$D$1001,$H7),""))</f>
        <v/>
      </c>
      <c r="E7" s="1">
        <f>IF($H7="","",IFERROR(INDEX(Personas!$E$2:$E$1001,$H7),""))</f>
        <v/>
      </c>
      <c r="F7" s="1">
        <f>IF($H7="","",IFERROR(INDEX(Personas!$F$2:$F$1001,$H7),""))</f>
        <v/>
      </c>
      <c r="G7" s="1">
        <f>IF($H7="","",IFERROR(INDEX(Personas!$G$2:$G$1001,$H7),""))</f>
        <v/>
      </c>
      <c r="H7" s="1">
        <f>IF($B$3="","",IFERROR(AGGREGATE(15,6,(ROW(Personas!$H$2:$H$1001)-ROW(Personas!$H$2)+1)/(ISNUMBER(SEARCH($B$3,Personas!$H$2:$H$1001))),1),""))</f>
        <v/>
      </c>
    </row>
    <row r="8">
      <c r="A8" s="1">
        <f>IF($H8="","",IFERROR(INDEX(Personas!$A$2:$A$1001,$H8),""))</f>
        <v/>
      </c>
      <c r="B8" s="1">
        <f>IF($H8="","",IFERROR(INDEX(Personas!$B$2:$B$1001,$H8),""))</f>
        <v/>
      </c>
      <c r="C8" s="1">
        <f>IF($H8="","",IFERROR(INDEX(Personas!$C$2:$C$1001,$H8),""))</f>
        <v/>
      </c>
      <c r="D8" s="1">
        <f>IF($H8="","",IFERROR(INDEX(Personas!$D$2:$D$1001,$H8),""))</f>
        <v/>
      </c>
      <c r="E8" s="1">
        <f>IF($H8="","",IFERROR(INDEX(Personas!$E$2:$E$1001,$H8),""))</f>
        <v/>
      </c>
      <c r="F8" s="1">
        <f>IF($H8="","",IFERROR(INDEX(Personas!$F$2:$F$1001,$H8),""))</f>
        <v/>
      </c>
      <c r="G8" s="1">
        <f>IF($H8="","",IFERROR(INDEX(Personas!$G$2:$G$1001,$H8),""))</f>
        <v/>
      </c>
      <c r="H8" s="1">
        <f>IF($B$3="","",IFERROR(AGGREGATE(15,6,(ROW(Personas!$H$2:$H$1001)-ROW(Personas!$H$2)+1)/(ISNUMBER(SEARCH($B$3,Personas!$H$2:$H$1001))),2),""))</f>
        <v/>
      </c>
    </row>
    <row r="9">
      <c r="A9" s="1">
        <f>IF($H9="","",IFERROR(INDEX(Personas!$A$2:$A$1001,$H9),""))</f>
        <v/>
      </c>
      <c r="B9" s="1">
        <f>IF($H9="","",IFERROR(INDEX(Personas!$B$2:$B$1001,$H9),""))</f>
        <v/>
      </c>
      <c r="C9" s="1">
        <f>IF($H9="","",IFERROR(INDEX(Personas!$C$2:$C$1001,$H9),""))</f>
        <v/>
      </c>
      <c r="D9" s="1">
        <f>IF($H9="","",IFERROR(INDEX(Personas!$D$2:$D$1001,$H9),""))</f>
        <v/>
      </c>
      <c r="E9" s="1">
        <f>IF($H9="","",IFERROR(INDEX(Personas!$E$2:$E$1001,$H9),""))</f>
        <v/>
      </c>
      <c r="F9" s="1">
        <f>IF($H9="","",IFERROR(INDEX(Personas!$F$2:$F$1001,$H9),""))</f>
        <v/>
      </c>
      <c r="G9" s="1">
        <f>IF($H9="","",IFERROR(INDEX(Personas!$G$2:$G$1001,$H9),""))</f>
        <v/>
      </c>
      <c r="H9" s="1">
        <f>IF($B$3="","",IFERROR(AGGREGATE(15,6,(ROW(Personas!$H$2:$H$1001)-ROW(Personas!$H$2)+1)/(ISNUMBER(SEARCH($B$3,Personas!$H$2:$H$1001))),3),""))</f>
        <v/>
      </c>
    </row>
    <row r="10">
      <c r="A10" s="1">
        <f>IF($H10="","",IFERROR(INDEX(Personas!$A$2:$A$1001,$H10),""))</f>
        <v/>
      </c>
      <c r="B10" s="1">
        <f>IF($H10="","",IFERROR(INDEX(Personas!$B$2:$B$1001,$H10),""))</f>
        <v/>
      </c>
      <c r="C10" s="1">
        <f>IF($H10="","",IFERROR(INDEX(Personas!$C$2:$C$1001,$H10),""))</f>
        <v/>
      </c>
      <c r="D10" s="1">
        <f>IF($H10="","",IFERROR(INDEX(Personas!$D$2:$D$1001,$H10),""))</f>
        <v/>
      </c>
      <c r="E10" s="1">
        <f>IF($H10="","",IFERROR(INDEX(Personas!$E$2:$E$1001,$H10),""))</f>
        <v/>
      </c>
      <c r="F10" s="1">
        <f>IF($H10="","",IFERROR(INDEX(Personas!$F$2:$F$1001,$H10),""))</f>
        <v/>
      </c>
      <c r="G10" s="1">
        <f>IF($H10="","",IFERROR(INDEX(Personas!$G$2:$G$1001,$H10),""))</f>
        <v/>
      </c>
      <c r="H10" s="1">
        <f>IF($B$3="","",IFERROR(AGGREGATE(15,6,(ROW(Personas!$H$2:$H$1001)-ROW(Personas!$H$2)+1)/(ISNUMBER(SEARCH($B$3,Personas!$H$2:$H$1001))),4),""))</f>
        <v/>
      </c>
    </row>
    <row r="11">
      <c r="A11" s="1">
        <f>IF($H11="","",IFERROR(INDEX(Personas!$A$2:$A$1001,$H11),""))</f>
        <v/>
      </c>
      <c r="B11" s="1">
        <f>IF($H11="","",IFERROR(INDEX(Personas!$B$2:$B$1001,$H11),""))</f>
        <v/>
      </c>
      <c r="C11" s="1">
        <f>IF($H11="","",IFERROR(INDEX(Personas!$C$2:$C$1001,$H11),""))</f>
        <v/>
      </c>
      <c r="D11" s="1">
        <f>IF($H11="","",IFERROR(INDEX(Personas!$D$2:$D$1001,$H11),""))</f>
        <v/>
      </c>
      <c r="E11" s="1">
        <f>IF($H11="","",IFERROR(INDEX(Personas!$E$2:$E$1001,$H11),""))</f>
        <v/>
      </c>
      <c r="F11" s="1">
        <f>IF($H11="","",IFERROR(INDEX(Personas!$F$2:$F$1001,$H11),""))</f>
        <v/>
      </c>
      <c r="G11" s="1">
        <f>IF($H11="","",IFERROR(INDEX(Personas!$G$2:$G$1001,$H11),""))</f>
        <v/>
      </c>
      <c r="H11" s="1">
        <f>IF($B$3="","",IFERROR(AGGREGATE(15,6,(ROW(Personas!$H$2:$H$1001)-ROW(Personas!$H$2)+1)/(ISNUMBER(SEARCH($B$3,Personas!$H$2:$H$1001))),5),""))</f>
        <v/>
      </c>
    </row>
    <row r="12">
      <c r="A12" s="1">
        <f>IF($H12="","",IFERROR(INDEX(Personas!$A$2:$A$1001,$H12),""))</f>
        <v/>
      </c>
      <c r="B12" s="1">
        <f>IF($H12="","",IFERROR(INDEX(Personas!$B$2:$B$1001,$H12),""))</f>
        <v/>
      </c>
      <c r="C12" s="1">
        <f>IF($H12="","",IFERROR(INDEX(Personas!$C$2:$C$1001,$H12),""))</f>
        <v/>
      </c>
      <c r="D12" s="1">
        <f>IF($H12="","",IFERROR(INDEX(Personas!$D$2:$D$1001,$H12),""))</f>
        <v/>
      </c>
      <c r="E12" s="1">
        <f>IF($H12="","",IFERROR(INDEX(Personas!$E$2:$E$1001,$H12),""))</f>
        <v/>
      </c>
      <c r="F12" s="1">
        <f>IF($H12="","",IFERROR(INDEX(Personas!$F$2:$F$1001,$H12),""))</f>
        <v/>
      </c>
      <c r="G12" s="1">
        <f>IF($H12="","",IFERROR(INDEX(Personas!$G$2:$G$1001,$H12),""))</f>
        <v/>
      </c>
      <c r="H12" s="1">
        <f>IF($B$3="","",IFERROR(AGGREGATE(15,6,(ROW(Personas!$H$2:$H$1001)-ROW(Personas!$H$2)+1)/(ISNUMBER(SEARCH($B$3,Personas!$H$2:$H$1001))),6),""))</f>
        <v/>
      </c>
    </row>
    <row r="13">
      <c r="A13" s="1">
        <f>IF($H13="","",IFERROR(INDEX(Personas!$A$2:$A$1001,$H13),""))</f>
        <v/>
      </c>
      <c r="B13" s="1">
        <f>IF($H13="","",IFERROR(INDEX(Personas!$B$2:$B$1001,$H13),""))</f>
        <v/>
      </c>
      <c r="C13" s="1">
        <f>IF($H13="","",IFERROR(INDEX(Personas!$C$2:$C$1001,$H13),""))</f>
        <v/>
      </c>
      <c r="D13" s="1">
        <f>IF($H13="","",IFERROR(INDEX(Personas!$D$2:$D$1001,$H13),""))</f>
        <v/>
      </c>
      <c r="E13" s="1">
        <f>IF($H13="","",IFERROR(INDEX(Personas!$E$2:$E$1001,$H13),""))</f>
        <v/>
      </c>
      <c r="F13" s="1">
        <f>IF($H13="","",IFERROR(INDEX(Personas!$F$2:$F$1001,$H13),""))</f>
        <v/>
      </c>
      <c r="G13" s="1">
        <f>IF($H13="","",IFERROR(INDEX(Personas!$G$2:$G$1001,$H13),""))</f>
        <v/>
      </c>
      <c r="H13" s="1">
        <f>IF($B$3="","",IFERROR(AGGREGATE(15,6,(ROW(Personas!$H$2:$H$1001)-ROW(Personas!$H$2)+1)/(ISNUMBER(SEARCH($B$3,Personas!$H$2:$H$1001))),7),""))</f>
        <v/>
      </c>
    </row>
    <row r="14">
      <c r="A14" s="1">
        <f>IF($H14="","",IFERROR(INDEX(Personas!$A$2:$A$1001,$H14),""))</f>
        <v/>
      </c>
      <c r="B14" s="1">
        <f>IF($H14="","",IFERROR(INDEX(Personas!$B$2:$B$1001,$H14),""))</f>
        <v/>
      </c>
      <c r="C14" s="1">
        <f>IF($H14="","",IFERROR(INDEX(Personas!$C$2:$C$1001,$H14),""))</f>
        <v/>
      </c>
      <c r="D14" s="1">
        <f>IF($H14="","",IFERROR(INDEX(Personas!$D$2:$D$1001,$H14),""))</f>
        <v/>
      </c>
      <c r="E14" s="1">
        <f>IF($H14="","",IFERROR(INDEX(Personas!$E$2:$E$1001,$H14),""))</f>
        <v/>
      </c>
      <c r="F14" s="1">
        <f>IF($H14="","",IFERROR(INDEX(Personas!$F$2:$F$1001,$H14),""))</f>
        <v/>
      </c>
      <c r="G14" s="1">
        <f>IF($H14="","",IFERROR(INDEX(Personas!$G$2:$G$1001,$H14),""))</f>
        <v/>
      </c>
      <c r="H14" s="1">
        <f>IF($B$3="","",IFERROR(AGGREGATE(15,6,(ROW(Personas!$H$2:$H$1001)-ROW(Personas!$H$2)+1)/(ISNUMBER(SEARCH($B$3,Personas!$H$2:$H$1001))),8),""))</f>
        <v/>
      </c>
    </row>
    <row r="15">
      <c r="A15" s="1">
        <f>IF($H15="","",IFERROR(INDEX(Personas!$A$2:$A$1001,$H15),""))</f>
        <v/>
      </c>
      <c r="B15" s="1">
        <f>IF($H15="","",IFERROR(INDEX(Personas!$B$2:$B$1001,$H15),""))</f>
        <v/>
      </c>
      <c r="C15" s="1">
        <f>IF($H15="","",IFERROR(INDEX(Personas!$C$2:$C$1001,$H15),""))</f>
        <v/>
      </c>
      <c r="D15" s="1">
        <f>IF($H15="","",IFERROR(INDEX(Personas!$D$2:$D$1001,$H15),""))</f>
        <v/>
      </c>
      <c r="E15" s="1">
        <f>IF($H15="","",IFERROR(INDEX(Personas!$E$2:$E$1001,$H15),""))</f>
        <v/>
      </c>
      <c r="F15" s="1">
        <f>IF($H15="","",IFERROR(INDEX(Personas!$F$2:$F$1001,$H15),""))</f>
        <v/>
      </c>
      <c r="G15" s="1">
        <f>IF($H15="","",IFERROR(INDEX(Personas!$G$2:$G$1001,$H15),""))</f>
        <v/>
      </c>
      <c r="H15" s="1">
        <f>IF($B$3="","",IFERROR(AGGREGATE(15,6,(ROW(Personas!$H$2:$H$1001)-ROW(Personas!$H$2)+1)/(ISNUMBER(SEARCH($B$3,Personas!$H$2:$H$1001))),9),""))</f>
        <v/>
      </c>
    </row>
    <row r="16">
      <c r="A16" s="1">
        <f>IF($H16="","",IFERROR(INDEX(Personas!$A$2:$A$1001,$H16),""))</f>
        <v/>
      </c>
      <c r="B16" s="1">
        <f>IF($H16="","",IFERROR(INDEX(Personas!$B$2:$B$1001,$H16),""))</f>
        <v/>
      </c>
      <c r="C16" s="1">
        <f>IF($H16="","",IFERROR(INDEX(Personas!$C$2:$C$1001,$H16),""))</f>
        <v/>
      </c>
      <c r="D16" s="1">
        <f>IF($H16="","",IFERROR(INDEX(Personas!$D$2:$D$1001,$H16),""))</f>
        <v/>
      </c>
      <c r="E16" s="1">
        <f>IF($H16="","",IFERROR(INDEX(Personas!$E$2:$E$1001,$H16),""))</f>
        <v/>
      </c>
      <c r="F16" s="1">
        <f>IF($H16="","",IFERROR(INDEX(Personas!$F$2:$F$1001,$H16),""))</f>
        <v/>
      </c>
      <c r="G16" s="1">
        <f>IF($H16="","",IFERROR(INDEX(Personas!$G$2:$G$1001,$H16),""))</f>
        <v/>
      </c>
      <c r="H16" s="1">
        <f>IF($B$3="","",IFERROR(AGGREGATE(15,6,(ROW(Personas!$H$2:$H$1001)-ROW(Personas!$H$2)+1)/(ISNUMBER(SEARCH($B$3,Personas!$H$2:$H$1001))),10),""))</f>
        <v/>
      </c>
    </row>
    <row r="17">
      <c r="A17" s="1">
        <f>IF($H17="","",IFERROR(INDEX(Personas!$A$2:$A$1001,$H17),""))</f>
        <v/>
      </c>
      <c r="B17" s="1">
        <f>IF($H17="","",IFERROR(INDEX(Personas!$B$2:$B$1001,$H17),""))</f>
        <v/>
      </c>
      <c r="C17" s="1">
        <f>IF($H17="","",IFERROR(INDEX(Personas!$C$2:$C$1001,$H17),""))</f>
        <v/>
      </c>
      <c r="D17" s="1">
        <f>IF($H17="","",IFERROR(INDEX(Personas!$D$2:$D$1001,$H17),""))</f>
        <v/>
      </c>
      <c r="E17" s="1">
        <f>IF($H17="","",IFERROR(INDEX(Personas!$E$2:$E$1001,$H17),""))</f>
        <v/>
      </c>
      <c r="F17" s="1">
        <f>IF($H17="","",IFERROR(INDEX(Personas!$F$2:$F$1001,$H17),""))</f>
        <v/>
      </c>
      <c r="G17" s="1">
        <f>IF($H17="","",IFERROR(INDEX(Personas!$G$2:$G$1001,$H17),""))</f>
        <v/>
      </c>
      <c r="H17" s="1">
        <f>IF($B$3="","",IFERROR(AGGREGATE(15,6,(ROW(Personas!$H$2:$H$1001)-ROW(Personas!$H$2)+1)/(ISNUMBER(SEARCH($B$3,Personas!$H$2:$H$1001))),11),""))</f>
        <v/>
      </c>
    </row>
    <row r="18">
      <c r="A18" s="1">
        <f>IF($H18="","",IFERROR(INDEX(Personas!$A$2:$A$1001,$H18),""))</f>
        <v/>
      </c>
      <c r="B18" s="1">
        <f>IF($H18="","",IFERROR(INDEX(Personas!$B$2:$B$1001,$H18),""))</f>
        <v/>
      </c>
      <c r="C18" s="1">
        <f>IF($H18="","",IFERROR(INDEX(Personas!$C$2:$C$1001,$H18),""))</f>
        <v/>
      </c>
      <c r="D18" s="1">
        <f>IF($H18="","",IFERROR(INDEX(Personas!$D$2:$D$1001,$H18),""))</f>
        <v/>
      </c>
      <c r="E18" s="1">
        <f>IF($H18="","",IFERROR(INDEX(Personas!$E$2:$E$1001,$H18),""))</f>
        <v/>
      </c>
      <c r="F18" s="1">
        <f>IF($H18="","",IFERROR(INDEX(Personas!$F$2:$F$1001,$H18),""))</f>
        <v/>
      </c>
      <c r="G18" s="1">
        <f>IF($H18="","",IFERROR(INDEX(Personas!$G$2:$G$1001,$H18),""))</f>
        <v/>
      </c>
      <c r="H18" s="1">
        <f>IF($B$3="","",IFERROR(AGGREGATE(15,6,(ROW(Personas!$H$2:$H$1001)-ROW(Personas!$H$2)+1)/(ISNUMBER(SEARCH($B$3,Personas!$H$2:$H$1001))),12),""))</f>
        <v/>
      </c>
    </row>
    <row r="19">
      <c r="A19" s="1">
        <f>IF($H19="","",IFERROR(INDEX(Personas!$A$2:$A$1001,$H19),""))</f>
        <v/>
      </c>
      <c r="B19" s="1">
        <f>IF($H19="","",IFERROR(INDEX(Personas!$B$2:$B$1001,$H19),""))</f>
        <v/>
      </c>
      <c r="C19" s="1">
        <f>IF($H19="","",IFERROR(INDEX(Personas!$C$2:$C$1001,$H19),""))</f>
        <v/>
      </c>
      <c r="D19" s="1">
        <f>IF($H19="","",IFERROR(INDEX(Personas!$D$2:$D$1001,$H19),""))</f>
        <v/>
      </c>
      <c r="E19" s="1">
        <f>IF($H19="","",IFERROR(INDEX(Personas!$E$2:$E$1001,$H19),""))</f>
        <v/>
      </c>
      <c r="F19" s="1">
        <f>IF($H19="","",IFERROR(INDEX(Personas!$F$2:$F$1001,$H19),""))</f>
        <v/>
      </c>
      <c r="G19" s="1">
        <f>IF($H19="","",IFERROR(INDEX(Personas!$G$2:$G$1001,$H19),""))</f>
        <v/>
      </c>
      <c r="H19" s="1">
        <f>IF($B$3="","",IFERROR(AGGREGATE(15,6,(ROW(Personas!$H$2:$H$1001)-ROW(Personas!$H$2)+1)/(ISNUMBER(SEARCH($B$3,Personas!$H$2:$H$1001))),13),""))</f>
        <v/>
      </c>
    </row>
    <row r="20">
      <c r="A20" s="1">
        <f>IF($H20="","",IFERROR(INDEX(Personas!$A$2:$A$1001,$H20),""))</f>
        <v/>
      </c>
      <c r="B20" s="1">
        <f>IF($H20="","",IFERROR(INDEX(Personas!$B$2:$B$1001,$H20),""))</f>
        <v/>
      </c>
      <c r="C20" s="1">
        <f>IF($H20="","",IFERROR(INDEX(Personas!$C$2:$C$1001,$H20),""))</f>
        <v/>
      </c>
      <c r="D20" s="1">
        <f>IF($H20="","",IFERROR(INDEX(Personas!$D$2:$D$1001,$H20),""))</f>
        <v/>
      </c>
      <c r="E20" s="1">
        <f>IF($H20="","",IFERROR(INDEX(Personas!$E$2:$E$1001,$H20),""))</f>
        <v/>
      </c>
      <c r="F20" s="1">
        <f>IF($H20="","",IFERROR(INDEX(Personas!$F$2:$F$1001,$H20),""))</f>
        <v/>
      </c>
      <c r="G20" s="1">
        <f>IF($H20="","",IFERROR(INDEX(Personas!$G$2:$G$1001,$H20),""))</f>
        <v/>
      </c>
      <c r="H20" s="1">
        <f>IF($B$3="","",IFERROR(AGGREGATE(15,6,(ROW(Personas!$H$2:$H$1001)-ROW(Personas!$H$2)+1)/(ISNUMBER(SEARCH($B$3,Personas!$H$2:$H$1001))),14),""))</f>
        <v/>
      </c>
    </row>
    <row r="21">
      <c r="A21" s="1">
        <f>IF($H21="","",IFERROR(INDEX(Personas!$A$2:$A$1001,$H21),""))</f>
        <v/>
      </c>
      <c r="B21" s="1">
        <f>IF($H21="","",IFERROR(INDEX(Personas!$B$2:$B$1001,$H21),""))</f>
        <v/>
      </c>
      <c r="C21" s="1">
        <f>IF($H21="","",IFERROR(INDEX(Personas!$C$2:$C$1001,$H21),""))</f>
        <v/>
      </c>
      <c r="D21" s="1">
        <f>IF($H21="","",IFERROR(INDEX(Personas!$D$2:$D$1001,$H21),""))</f>
        <v/>
      </c>
      <c r="E21" s="1">
        <f>IF($H21="","",IFERROR(INDEX(Personas!$E$2:$E$1001,$H21),""))</f>
        <v/>
      </c>
      <c r="F21" s="1">
        <f>IF($H21="","",IFERROR(INDEX(Personas!$F$2:$F$1001,$H21),""))</f>
        <v/>
      </c>
      <c r="G21" s="1">
        <f>IF($H21="","",IFERROR(INDEX(Personas!$G$2:$G$1001,$H21),""))</f>
        <v/>
      </c>
      <c r="H21" s="1">
        <f>IF($B$3="","",IFERROR(AGGREGATE(15,6,(ROW(Personas!$H$2:$H$1001)-ROW(Personas!$H$2)+1)/(ISNUMBER(SEARCH($B$3,Personas!$H$2:$H$1001))),15),""))</f>
        <v/>
      </c>
    </row>
    <row r="22">
      <c r="A22" s="1">
        <f>IF($H22="","",IFERROR(INDEX(Personas!$A$2:$A$1001,$H22),""))</f>
        <v/>
      </c>
      <c r="B22" s="1">
        <f>IF($H22="","",IFERROR(INDEX(Personas!$B$2:$B$1001,$H22),""))</f>
        <v/>
      </c>
      <c r="C22" s="1">
        <f>IF($H22="","",IFERROR(INDEX(Personas!$C$2:$C$1001,$H22),""))</f>
        <v/>
      </c>
      <c r="D22" s="1">
        <f>IF($H22="","",IFERROR(INDEX(Personas!$D$2:$D$1001,$H22),""))</f>
        <v/>
      </c>
      <c r="E22" s="1">
        <f>IF($H22="","",IFERROR(INDEX(Personas!$E$2:$E$1001,$H22),""))</f>
        <v/>
      </c>
      <c r="F22" s="1">
        <f>IF($H22="","",IFERROR(INDEX(Personas!$F$2:$F$1001,$H22),""))</f>
        <v/>
      </c>
      <c r="G22" s="1">
        <f>IF($H22="","",IFERROR(INDEX(Personas!$G$2:$G$1001,$H22),""))</f>
        <v/>
      </c>
      <c r="H22" s="1">
        <f>IF($B$3="","",IFERROR(AGGREGATE(15,6,(ROW(Personas!$H$2:$H$1001)-ROW(Personas!$H$2)+1)/(ISNUMBER(SEARCH($B$3,Personas!$H$2:$H$1001))),16),""))</f>
        <v/>
      </c>
    </row>
    <row r="23">
      <c r="A23" s="1">
        <f>IF($H23="","",IFERROR(INDEX(Personas!$A$2:$A$1001,$H23),""))</f>
        <v/>
      </c>
      <c r="B23" s="1">
        <f>IF($H23="","",IFERROR(INDEX(Personas!$B$2:$B$1001,$H23),""))</f>
        <v/>
      </c>
      <c r="C23" s="1">
        <f>IF($H23="","",IFERROR(INDEX(Personas!$C$2:$C$1001,$H23),""))</f>
        <v/>
      </c>
      <c r="D23" s="1">
        <f>IF($H23="","",IFERROR(INDEX(Personas!$D$2:$D$1001,$H23),""))</f>
        <v/>
      </c>
      <c r="E23" s="1">
        <f>IF($H23="","",IFERROR(INDEX(Personas!$E$2:$E$1001,$H23),""))</f>
        <v/>
      </c>
      <c r="F23" s="1">
        <f>IF($H23="","",IFERROR(INDEX(Personas!$F$2:$F$1001,$H23),""))</f>
        <v/>
      </c>
      <c r="G23" s="1">
        <f>IF($H23="","",IFERROR(INDEX(Personas!$G$2:$G$1001,$H23),""))</f>
        <v/>
      </c>
      <c r="H23" s="1">
        <f>IF($B$3="","",IFERROR(AGGREGATE(15,6,(ROW(Personas!$H$2:$H$1001)-ROW(Personas!$H$2)+1)/(ISNUMBER(SEARCH($B$3,Personas!$H$2:$H$1001))),17),""))</f>
        <v/>
      </c>
    </row>
    <row r="24">
      <c r="A24" s="1">
        <f>IF($H24="","",IFERROR(INDEX(Personas!$A$2:$A$1001,$H24),""))</f>
        <v/>
      </c>
      <c r="B24" s="1">
        <f>IF($H24="","",IFERROR(INDEX(Personas!$B$2:$B$1001,$H24),""))</f>
        <v/>
      </c>
      <c r="C24" s="1">
        <f>IF($H24="","",IFERROR(INDEX(Personas!$C$2:$C$1001,$H24),""))</f>
        <v/>
      </c>
      <c r="D24" s="1">
        <f>IF($H24="","",IFERROR(INDEX(Personas!$D$2:$D$1001,$H24),""))</f>
        <v/>
      </c>
      <c r="E24" s="1">
        <f>IF($H24="","",IFERROR(INDEX(Personas!$E$2:$E$1001,$H24),""))</f>
        <v/>
      </c>
      <c r="F24" s="1">
        <f>IF($H24="","",IFERROR(INDEX(Personas!$F$2:$F$1001,$H24),""))</f>
        <v/>
      </c>
      <c r="G24" s="1">
        <f>IF($H24="","",IFERROR(INDEX(Personas!$G$2:$G$1001,$H24),""))</f>
        <v/>
      </c>
      <c r="H24" s="1">
        <f>IF($B$3="","",IFERROR(AGGREGATE(15,6,(ROW(Personas!$H$2:$H$1001)-ROW(Personas!$H$2)+1)/(ISNUMBER(SEARCH($B$3,Personas!$H$2:$H$1001))),18),""))</f>
        <v/>
      </c>
    </row>
    <row r="25">
      <c r="A25" s="1">
        <f>IF($H25="","",IFERROR(INDEX(Personas!$A$2:$A$1001,$H25),""))</f>
        <v/>
      </c>
      <c r="B25" s="1">
        <f>IF($H25="","",IFERROR(INDEX(Personas!$B$2:$B$1001,$H25),""))</f>
        <v/>
      </c>
      <c r="C25" s="1">
        <f>IF($H25="","",IFERROR(INDEX(Personas!$C$2:$C$1001,$H25),""))</f>
        <v/>
      </c>
      <c r="D25" s="1">
        <f>IF($H25="","",IFERROR(INDEX(Personas!$D$2:$D$1001,$H25),""))</f>
        <v/>
      </c>
      <c r="E25" s="1">
        <f>IF($H25="","",IFERROR(INDEX(Personas!$E$2:$E$1001,$H25),""))</f>
        <v/>
      </c>
      <c r="F25" s="1">
        <f>IF($H25="","",IFERROR(INDEX(Personas!$F$2:$F$1001,$H25),""))</f>
        <v/>
      </c>
      <c r="G25" s="1">
        <f>IF($H25="","",IFERROR(INDEX(Personas!$G$2:$G$1001,$H25),""))</f>
        <v/>
      </c>
      <c r="H25" s="1">
        <f>IF($B$3="","",IFERROR(AGGREGATE(15,6,(ROW(Personas!$H$2:$H$1001)-ROW(Personas!$H$2)+1)/(ISNUMBER(SEARCH($B$3,Personas!$H$2:$H$1001))),19),""))</f>
        <v/>
      </c>
    </row>
    <row r="26">
      <c r="A26" s="1">
        <f>IF($H26="","",IFERROR(INDEX(Personas!$A$2:$A$1001,$H26),""))</f>
        <v/>
      </c>
      <c r="B26" s="1">
        <f>IF($H26="","",IFERROR(INDEX(Personas!$B$2:$B$1001,$H26),""))</f>
        <v/>
      </c>
      <c r="C26" s="1">
        <f>IF($H26="","",IFERROR(INDEX(Personas!$C$2:$C$1001,$H26),""))</f>
        <v/>
      </c>
      <c r="D26" s="1">
        <f>IF($H26="","",IFERROR(INDEX(Personas!$D$2:$D$1001,$H26),""))</f>
        <v/>
      </c>
      <c r="E26" s="1">
        <f>IF($H26="","",IFERROR(INDEX(Personas!$E$2:$E$1001,$H26),""))</f>
        <v/>
      </c>
      <c r="F26" s="1">
        <f>IF($H26="","",IFERROR(INDEX(Personas!$F$2:$F$1001,$H26),""))</f>
        <v/>
      </c>
      <c r="G26" s="1">
        <f>IF($H26="","",IFERROR(INDEX(Personas!$G$2:$G$1001,$H26),""))</f>
        <v/>
      </c>
      <c r="H26" s="1">
        <f>IF($B$3="","",IFERROR(AGGREGATE(15,6,(ROW(Personas!$H$2:$H$1001)-ROW(Personas!$H$2)+1)/(ISNUMBER(SEARCH($B$3,Personas!$H$2:$H$1001))),20),""))</f>
        <v/>
      </c>
    </row>
    <row r="27">
      <c r="A27" s="1">
        <f>IF($H27="","",IFERROR(INDEX(Personas!$A$2:$A$1001,$H27),""))</f>
        <v/>
      </c>
      <c r="B27" s="1">
        <f>IF($H27="","",IFERROR(INDEX(Personas!$B$2:$B$1001,$H27),""))</f>
        <v/>
      </c>
      <c r="C27" s="1">
        <f>IF($H27="","",IFERROR(INDEX(Personas!$C$2:$C$1001,$H27),""))</f>
        <v/>
      </c>
      <c r="D27" s="1">
        <f>IF($H27="","",IFERROR(INDEX(Personas!$D$2:$D$1001,$H27),""))</f>
        <v/>
      </c>
      <c r="E27" s="1">
        <f>IF($H27="","",IFERROR(INDEX(Personas!$E$2:$E$1001,$H27),""))</f>
        <v/>
      </c>
      <c r="F27" s="1">
        <f>IF($H27="","",IFERROR(INDEX(Personas!$F$2:$F$1001,$H27),""))</f>
        <v/>
      </c>
      <c r="G27" s="1">
        <f>IF($H27="","",IFERROR(INDEX(Personas!$G$2:$G$1001,$H27),""))</f>
        <v/>
      </c>
      <c r="H27" s="1">
        <f>IF($B$3="","",IFERROR(AGGREGATE(15,6,(ROW(Personas!$H$2:$H$1001)-ROW(Personas!$H$2)+1)/(ISNUMBER(SEARCH($B$3,Personas!$H$2:$H$1001))),21),""))</f>
        <v/>
      </c>
    </row>
    <row r="28">
      <c r="A28" s="1">
        <f>IF($H28="","",IFERROR(INDEX(Personas!$A$2:$A$1001,$H28),""))</f>
        <v/>
      </c>
      <c r="B28" s="1">
        <f>IF($H28="","",IFERROR(INDEX(Personas!$B$2:$B$1001,$H28),""))</f>
        <v/>
      </c>
      <c r="C28" s="1">
        <f>IF($H28="","",IFERROR(INDEX(Personas!$C$2:$C$1001,$H28),""))</f>
        <v/>
      </c>
      <c r="D28" s="1">
        <f>IF($H28="","",IFERROR(INDEX(Personas!$D$2:$D$1001,$H28),""))</f>
        <v/>
      </c>
      <c r="E28" s="1">
        <f>IF($H28="","",IFERROR(INDEX(Personas!$E$2:$E$1001,$H28),""))</f>
        <v/>
      </c>
      <c r="F28" s="1">
        <f>IF($H28="","",IFERROR(INDEX(Personas!$F$2:$F$1001,$H28),""))</f>
        <v/>
      </c>
      <c r="G28" s="1">
        <f>IF($H28="","",IFERROR(INDEX(Personas!$G$2:$G$1001,$H28),""))</f>
        <v/>
      </c>
      <c r="H28" s="1">
        <f>IF($B$3="","",IFERROR(AGGREGATE(15,6,(ROW(Personas!$H$2:$H$1001)-ROW(Personas!$H$2)+1)/(ISNUMBER(SEARCH($B$3,Personas!$H$2:$H$1001))),22),""))</f>
        <v/>
      </c>
    </row>
    <row r="29">
      <c r="A29" s="1">
        <f>IF($H29="","",IFERROR(INDEX(Personas!$A$2:$A$1001,$H29),""))</f>
        <v/>
      </c>
      <c r="B29" s="1">
        <f>IF($H29="","",IFERROR(INDEX(Personas!$B$2:$B$1001,$H29),""))</f>
        <v/>
      </c>
      <c r="C29" s="1">
        <f>IF($H29="","",IFERROR(INDEX(Personas!$C$2:$C$1001,$H29),""))</f>
        <v/>
      </c>
      <c r="D29" s="1">
        <f>IF($H29="","",IFERROR(INDEX(Personas!$D$2:$D$1001,$H29),""))</f>
        <v/>
      </c>
      <c r="E29" s="1">
        <f>IF($H29="","",IFERROR(INDEX(Personas!$E$2:$E$1001,$H29),""))</f>
        <v/>
      </c>
      <c r="F29" s="1">
        <f>IF($H29="","",IFERROR(INDEX(Personas!$F$2:$F$1001,$H29),""))</f>
        <v/>
      </c>
      <c r="G29" s="1">
        <f>IF($H29="","",IFERROR(INDEX(Personas!$G$2:$G$1001,$H29),""))</f>
        <v/>
      </c>
      <c r="H29" s="1">
        <f>IF($B$3="","",IFERROR(AGGREGATE(15,6,(ROW(Personas!$H$2:$H$1001)-ROW(Personas!$H$2)+1)/(ISNUMBER(SEARCH($B$3,Personas!$H$2:$H$1001))),23),""))</f>
        <v/>
      </c>
    </row>
    <row r="30">
      <c r="A30" s="1">
        <f>IF($H30="","",IFERROR(INDEX(Personas!$A$2:$A$1001,$H30),""))</f>
        <v/>
      </c>
      <c r="B30" s="1">
        <f>IF($H30="","",IFERROR(INDEX(Personas!$B$2:$B$1001,$H30),""))</f>
        <v/>
      </c>
      <c r="C30" s="1">
        <f>IF($H30="","",IFERROR(INDEX(Personas!$C$2:$C$1001,$H30),""))</f>
        <v/>
      </c>
      <c r="D30" s="1">
        <f>IF($H30="","",IFERROR(INDEX(Personas!$D$2:$D$1001,$H30),""))</f>
        <v/>
      </c>
      <c r="E30" s="1">
        <f>IF($H30="","",IFERROR(INDEX(Personas!$E$2:$E$1001,$H30),""))</f>
        <v/>
      </c>
      <c r="F30" s="1">
        <f>IF($H30="","",IFERROR(INDEX(Personas!$F$2:$F$1001,$H30),""))</f>
        <v/>
      </c>
      <c r="G30" s="1">
        <f>IF($H30="","",IFERROR(INDEX(Personas!$G$2:$G$1001,$H30),""))</f>
        <v/>
      </c>
      <c r="H30" s="1">
        <f>IF($B$3="","",IFERROR(AGGREGATE(15,6,(ROW(Personas!$H$2:$H$1001)-ROW(Personas!$H$2)+1)/(ISNUMBER(SEARCH($B$3,Personas!$H$2:$H$1001))),24),""))</f>
        <v/>
      </c>
    </row>
    <row r="31">
      <c r="A31" s="1">
        <f>IF($H31="","",IFERROR(INDEX(Personas!$A$2:$A$1001,$H31),""))</f>
        <v/>
      </c>
      <c r="B31" s="1">
        <f>IF($H31="","",IFERROR(INDEX(Personas!$B$2:$B$1001,$H31),""))</f>
        <v/>
      </c>
      <c r="C31" s="1">
        <f>IF($H31="","",IFERROR(INDEX(Personas!$C$2:$C$1001,$H31),""))</f>
        <v/>
      </c>
      <c r="D31" s="1">
        <f>IF($H31="","",IFERROR(INDEX(Personas!$D$2:$D$1001,$H31),""))</f>
        <v/>
      </c>
      <c r="E31" s="1">
        <f>IF($H31="","",IFERROR(INDEX(Personas!$E$2:$E$1001,$H31),""))</f>
        <v/>
      </c>
      <c r="F31" s="1">
        <f>IF($H31="","",IFERROR(INDEX(Personas!$F$2:$F$1001,$H31),""))</f>
        <v/>
      </c>
      <c r="G31" s="1">
        <f>IF($H31="","",IFERROR(INDEX(Personas!$G$2:$G$1001,$H31),""))</f>
        <v/>
      </c>
      <c r="H31" s="1">
        <f>IF($B$3="","",IFERROR(AGGREGATE(15,6,(ROW(Personas!$H$2:$H$1001)-ROW(Personas!$H$2)+1)/(ISNUMBER(SEARCH($B$3,Personas!$H$2:$H$1001))),25),""))</f>
        <v/>
      </c>
    </row>
    <row r="32">
      <c r="A32" s="1">
        <f>IF($H32="","",IFERROR(INDEX(Personas!$A$2:$A$1001,$H32),""))</f>
        <v/>
      </c>
      <c r="B32" s="1">
        <f>IF($H32="","",IFERROR(INDEX(Personas!$B$2:$B$1001,$H32),""))</f>
        <v/>
      </c>
      <c r="C32" s="1">
        <f>IF($H32="","",IFERROR(INDEX(Personas!$C$2:$C$1001,$H32),""))</f>
        <v/>
      </c>
      <c r="D32" s="1">
        <f>IF($H32="","",IFERROR(INDEX(Personas!$D$2:$D$1001,$H32),""))</f>
        <v/>
      </c>
      <c r="E32" s="1">
        <f>IF($H32="","",IFERROR(INDEX(Personas!$E$2:$E$1001,$H32),""))</f>
        <v/>
      </c>
      <c r="F32" s="1">
        <f>IF($H32="","",IFERROR(INDEX(Personas!$F$2:$F$1001,$H32),""))</f>
        <v/>
      </c>
      <c r="G32" s="1">
        <f>IF($H32="","",IFERROR(INDEX(Personas!$G$2:$G$1001,$H32),""))</f>
        <v/>
      </c>
      <c r="H32" s="1">
        <f>IF($B$3="","",IFERROR(AGGREGATE(15,6,(ROW(Personas!$H$2:$H$1001)-ROW(Personas!$H$2)+1)/(ISNUMBER(SEARCH($B$3,Personas!$H$2:$H$1001))),26),""))</f>
        <v/>
      </c>
    </row>
    <row r="33">
      <c r="A33" s="1">
        <f>IF($H33="","",IFERROR(INDEX(Personas!$A$2:$A$1001,$H33),""))</f>
        <v/>
      </c>
      <c r="B33" s="1">
        <f>IF($H33="","",IFERROR(INDEX(Personas!$B$2:$B$1001,$H33),""))</f>
        <v/>
      </c>
      <c r="C33" s="1">
        <f>IF($H33="","",IFERROR(INDEX(Personas!$C$2:$C$1001,$H33),""))</f>
        <v/>
      </c>
      <c r="D33" s="1">
        <f>IF($H33="","",IFERROR(INDEX(Personas!$D$2:$D$1001,$H33),""))</f>
        <v/>
      </c>
      <c r="E33" s="1">
        <f>IF($H33="","",IFERROR(INDEX(Personas!$E$2:$E$1001,$H33),""))</f>
        <v/>
      </c>
      <c r="F33" s="1">
        <f>IF($H33="","",IFERROR(INDEX(Personas!$F$2:$F$1001,$H33),""))</f>
        <v/>
      </c>
      <c r="G33" s="1">
        <f>IF($H33="","",IFERROR(INDEX(Personas!$G$2:$G$1001,$H33),""))</f>
        <v/>
      </c>
      <c r="H33" s="1">
        <f>IF($B$3="","",IFERROR(AGGREGATE(15,6,(ROW(Personas!$H$2:$H$1001)-ROW(Personas!$H$2)+1)/(ISNUMBER(SEARCH($B$3,Personas!$H$2:$H$1001))),27),""))</f>
        <v/>
      </c>
    </row>
    <row r="34">
      <c r="A34" s="1">
        <f>IF($H34="","",IFERROR(INDEX(Personas!$A$2:$A$1001,$H34),""))</f>
        <v/>
      </c>
      <c r="B34" s="1">
        <f>IF($H34="","",IFERROR(INDEX(Personas!$B$2:$B$1001,$H34),""))</f>
        <v/>
      </c>
      <c r="C34" s="1">
        <f>IF($H34="","",IFERROR(INDEX(Personas!$C$2:$C$1001,$H34),""))</f>
        <v/>
      </c>
      <c r="D34" s="1">
        <f>IF($H34="","",IFERROR(INDEX(Personas!$D$2:$D$1001,$H34),""))</f>
        <v/>
      </c>
      <c r="E34" s="1">
        <f>IF($H34="","",IFERROR(INDEX(Personas!$E$2:$E$1001,$H34),""))</f>
        <v/>
      </c>
      <c r="F34" s="1">
        <f>IF($H34="","",IFERROR(INDEX(Personas!$F$2:$F$1001,$H34),""))</f>
        <v/>
      </c>
      <c r="G34" s="1">
        <f>IF($H34="","",IFERROR(INDEX(Personas!$G$2:$G$1001,$H34),""))</f>
        <v/>
      </c>
      <c r="H34" s="1">
        <f>IF($B$3="","",IFERROR(AGGREGATE(15,6,(ROW(Personas!$H$2:$H$1001)-ROW(Personas!$H$2)+1)/(ISNUMBER(SEARCH($B$3,Personas!$H$2:$H$1001))),28),""))</f>
        <v/>
      </c>
    </row>
    <row r="35">
      <c r="A35" s="1">
        <f>IF($H35="","",IFERROR(INDEX(Personas!$A$2:$A$1001,$H35),""))</f>
        <v/>
      </c>
      <c r="B35" s="1">
        <f>IF($H35="","",IFERROR(INDEX(Personas!$B$2:$B$1001,$H35),""))</f>
        <v/>
      </c>
      <c r="C35" s="1">
        <f>IF($H35="","",IFERROR(INDEX(Personas!$C$2:$C$1001,$H35),""))</f>
        <v/>
      </c>
      <c r="D35" s="1">
        <f>IF($H35="","",IFERROR(INDEX(Personas!$D$2:$D$1001,$H35),""))</f>
        <v/>
      </c>
      <c r="E35" s="1">
        <f>IF($H35="","",IFERROR(INDEX(Personas!$E$2:$E$1001,$H35),""))</f>
        <v/>
      </c>
      <c r="F35" s="1">
        <f>IF($H35="","",IFERROR(INDEX(Personas!$F$2:$F$1001,$H35),""))</f>
        <v/>
      </c>
      <c r="G35" s="1">
        <f>IF($H35="","",IFERROR(INDEX(Personas!$G$2:$G$1001,$H35),""))</f>
        <v/>
      </c>
      <c r="H35" s="1">
        <f>IF($B$3="","",IFERROR(AGGREGATE(15,6,(ROW(Personas!$H$2:$H$1001)-ROW(Personas!$H$2)+1)/(ISNUMBER(SEARCH($B$3,Personas!$H$2:$H$1001))),29),""))</f>
        <v/>
      </c>
    </row>
    <row r="36">
      <c r="A36" s="1">
        <f>IF($H36="","",IFERROR(INDEX(Personas!$A$2:$A$1001,$H36),""))</f>
        <v/>
      </c>
      <c r="B36" s="1">
        <f>IF($H36="","",IFERROR(INDEX(Personas!$B$2:$B$1001,$H36),""))</f>
        <v/>
      </c>
      <c r="C36" s="1">
        <f>IF($H36="","",IFERROR(INDEX(Personas!$C$2:$C$1001,$H36),""))</f>
        <v/>
      </c>
      <c r="D36" s="1">
        <f>IF($H36="","",IFERROR(INDEX(Personas!$D$2:$D$1001,$H36),""))</f>
        <v/>
      </c>
      <c r="E36" s="1">
        <f>IF($H36="","",IFERROR(INDEX(Personas!$E$2:$E$1001,$H36),""))</f>
        <v/>
      </c>
      <c r="F36" s="1">
        <f>IF($H36="","",IFERROR(INDEX(Personas!$F$2:$F$1001,$H36),""))</f>
        <v/>
      </c>
      <c r="G36" s="1">
        <f>IF($H36="","",IFERROR(INDEX(Personas!$G$2:$G$1001,$H36),""))</f>
        <v/>
      </c>
      <c r="H36" s="1">
        <f>IF($B$3="","",IFERROR(AGGREGATE(15,6,(ROW(Personas!$H$2:$H$1001)-ROW(Personas!$H$2)+1)/(ISNUMBER(SEARCH($B$3,Personas!$H$2:$H$1001))),30),""))</f>
        <v/>
      </c>
    </row>
    <row r="37">
      <c r="A37" s="1">
        <f>IF($H37="","",IFERROR(INDEX(Personas!$A$2:$A$1001,$H37),""))</f>
        <v/>
      </c>
      <c r="B37" s="1">
        <f>IF($H37="","",IFERROR(INDEX(Personas!$B$2:$B$1001,$H37),""))</f>
        <v/>
      </c>
      <c r="C37" s="1">
        <f>IF($H37="","",IFERROR(INDEX(Personas!$C$2:$C$1001,$H37),""))</f>
        <v/>
      </c>
      <c r="D37" s="1">
        <f>IF($H37="","",IFERROR(INDEX(Personas!$D$2:$D$1001,$H37),""))</f>
        <v/>
      </c>
      <c r="E37" s="1">
        <f>IF($H37="","",IFERROR(INDEX(Personas!$E$2:$E$1001,$H37),""))</f>
        <v/>
      </c>
      <c r="F37" s="1">
        <f>IF($H37="","",IFERROR(INDEX(Personas!$F$2:$F$1001,$H37),""))</f>
        <v/>
      </c>
      <c r="G37" s="1">
        <f>IF($H37="","",IFERROR(INDEX(Personas!$G$2:$G$1001,$H37),""))</f>
        <v/>
      </c>
      <c r="H37" s="1">
        <f>IF($B$3="","",IFERROR(AGGREGATE(15,6,(ROW(Personas!$H$2:$H$1001)-ROW(Personas!$H$2)+1)/(ISNUMBER(SEARCH($B$3,Personas!$H$2:$H$1001))),31),""))</f>
        <v/>
      </c>
    </row>
    <row r="38">
      <c r="A38" s="1">
        <f>IF($H38="","",IFERROR(INDEX(Personas!$A$2:$A$1001,$H38),""))</f>
        <v/>
      </c>
      <c r="B38" s="1">
        <f>IF($H38="","",IFERROR(INDEX(Personas!$B$2:$B$1001,$H38),""))</f>
        <v/>
      </c>
      <c r="C38" s="1">
        <f>IF($H38="","",IFERROR(INDEX(Personas!$C$2:$C$1001,$H38),""))</f>
        <v/>
      </c>
      <c r="D38" s="1">
        <f>IF($H38="","",IFERROR(INDEX(Personas!$D$2:$D$1001,$H38),""))</f>
        <v/>
      </c>
      <c r="E38" s="1">
        <f>IF($H38="","",IFERROR(INDEX(Personas!$E$2:$E$1001,$H38),""))</f>
        <v/>
      </c>
      <c r="F38" s="1">
        <f>IF($H38="","",IFERROR(INDEX(Personas!$F$2:$F$1001,$H38),""))</f>
        <v/>
      </c>
      <c r="G38" s="1">
        <f>IF($H38="","",IFERROR(INDEX(Personas!$G$2:$G$1001,$H38),""))</f>
        <v/>
      </c>
      <c r="H38" s="1">
        <f>IF($B$3="","",IFERROR(AGGREGATE(15,6,(ROW(Personas!$H$2:$H$1001)-ROW(Personas!$H$2)+1)/(ISNUMBER(SEARCH($B$3,Personas!$H$2:$H$1001))),32),""))</f>
        <v/>
      </c>
    </row>
    <row r="39">
      <c r="A39" s="1">
        <f>IF($H39="","",IFERROR(INDEX(Personas!$A$2:$A$1001,$H39),""))</f>
        <v/>
      </c>
      <c r="B39" s="1">
        <f>IF($H39="","",IFERROR(INDEX(Personas!$B$2:$B$1001,$H39),""))</f>
        <v/>
      </c>
      <c r="C39" s="1">
        <f>IF($H39="","",IFERROR(INDEX(Personas!$C$2:$C$1001,$H39),""))</f>
        <v/>
      </c>
      <c r="D39" s="1">
        <f>IF($H39="","",IFERROR(INDEX(Personas!$D$2:$D$1001,$H39),""))</f>
        <v/>
      </c>
      <c r="E39" s="1">
        <f>IF($H39="","",IFERROR(INDEX(Personas!$E$2:$E$1001,$H39),""))</f>
        <v/>
      </c>
      <c r="F39" s="1">
        <f>IF($H39="","",IFERROR(INDEX(Personas!$F$2:$F$1001,$H39),""))</f>
        <v/>
      </c>
      <c r="G39" s="1">
        <f>IF($H39="","",IFERROR(INDEX(Personas!$G$2:$G$1001,$H39),""))</f>
        <v/>
      </c>
      <c r="H39" s="1">
        <f>IF($B$3="","",IFERROR(AGGREGATE(15,6,(ROW(Personas!$H$2:$H$1001)-ROW(Personas!$H$2)+1)/(ISNUMBER(SEARCH($B$3,Personas!$H$2:$H$1001))),33),""))</f>
        <v/>
      </c>
    </row>
    <row r="40">
      <c r="A40" s="1">
        <f>IF($H40="","",IFERROR(INDEX(Personas!$A$2:$A$1001,$H40),""))</f>
        <v/>
      </c>
      <c r="B40" s="1">
        <f>IF($H40="","",IFERROR(INDEX(Personas!$B$2:$B$1001,$H40),""))</f>
        <v/>
      </c>
      <c r="C40" s="1">
        <f>IF($H40="","",IFERROR(INDEX(Personas!$C$2:$C$1001,$H40),""))</f>
        <v/>
      </c>
      <c r="D40" s="1">
        <f>IF($H40="","",IFERROR(INDEX(Personas!$D$2:$D$1001,$H40),""))</f>
        <v/>
      </c>
      <c r="E40" s="1">
        <f>IF($H40="","",IFERROR(INDEX(Personas!$E$2:$E$1001,$H40),""))</f>
        <v/>
      </c>
      <c r="F40" s="1">
        <f>IF($H40="","",IFERROR(INDEX(Personas!$F$2:$F$1001,$H40),""))</f>
        <v/>
      </c>
      <c r="G40" s="1">
        <f>IF($H40="","",IFERROR(INDEX(Personas!$G$2:$G$1001,$H40),""))</f>
        <v/>
      </c>
      <c r="H40" s="1">
        <f>IF($B$3="","",IFERROR(AGGREGATE(15,6,(ROW(Personas!$H$2:$H$1001)-ROW(Personas!$H$2)+1)/(ISNUMBER(SEARCH($B$3,Personas!$H$2:$H$1001))),34),""))</f>
        <v/>
      </c>
    </row>
    <row r="41">
      <c r="A41" s="1">
        <f>IF($H41="","",IFERROR(INDEX(Personas!$A$2:$A$1001,$H41),""))</f>
        <v/>
      </c>
      <c r="B41" s="1">
        <f>IF($H41="","",IFERROR(INDEX(Personas!$B$2:$B$1001,$H41),""))</f>
        <v/>
      </c>
      <c r="C41" s="1">
        <f>IF($H41="","",IFERROR(INDEX(Personas!$C$2:$C$1001,$H41),""))</f>
        <v/>
      </c>
      <c r="D41" s="1">
        <f>IF($H41="","",IFERROR(INDEX(Personas!$D$2:$D$1001,$H41),""))</f>
        <v/>
      </c>
      <c r="E41" s="1">
        <f>IF($H41="","",IFERROR(INDEX(Personas!$E$2:$E$1001,$H41),""))</f>
        <v/>
      </c>
      <c r="F41" s="1">
        <f>IF($H41="","",IFERROR(INDEX(Personas!$F$2:$F$1001,$H41),""))</f>
        <v/>
      </c>
      <c r="G41" s="1">
        <f>IF($H41="","",IFERROR(INDEX(Personas!$G$2:$G$1001,$H41),""))</f>
        <v/>
      </c>
      <c r="H41" s="1">
        <f>IF($B$3="","",IFERROR(AGGREGATE(15,6,(ROW(Personas!$H$2:$H$1001)-ROW(Personas!$H$2)+1)/(ISNUMBER(SEARCH($B$3,Personas!$H$2:$H$1001))),35),""))</f>
        <v/>
      </c>
    </row>
    <row r="42">
      <c r="A42" s="1">
        <f>IF($H42="","",IFERROR(INDEX(Personas!$A$2:$A$1001,$H42),""))</f>
        <v/>
      </c>
      <c r="B42" s="1">
        <f>IF($H42="","",IFERROR(INDEX(Personas!$B$2:$B$1001,$H42),""))</f>
        <v/>
      </c>
      <c r="C42" s="1">
        <f>IF($H42="","",IFERROR(INDEX(Personas!$C$2:$C$1001,$H42),""))</f>
        <v/>
      </c>
      <c r="D42" s="1">
        <f>IF($H42="","",IFERROR(INDEX(Personas!$D$2:$D$1001,$H42),""))</f>
        <v/>
      </c>
      <c r="E42" s="1">
        <f>IF($H42="","",IFERROR(INDEX(Personas!$E$2:$E$1001,$H42),""))</f>
        <v/>
      </c>
      <c r="F42" s="1">
        <f>IF($H42="","",IFERROR(INDEX(Personas!$F$2:$F$1001,$H42),""))</f>
        <v/>
      </c>
      <c r="G42" s="1">
        <f>IF($H42="","",IFERROR(INDEX(Personas!$G$2:$G$1001,$H42),""))</f>
        <v/>
      </c>
      <c r="H42" s="1">
        <f>IF($B$3="","",IFERROR(AGGREGATE(15,6,(ROW(Personas!$H$2:$H$1001)-ROW(Personas!$H$2)+1)/(ISNUMBER(SEARCH($B$3,Personas!$H$2:$H$1001))),36),""))</f>
        <v/>
      </c>
    </row>
    <row r="43">
      <c r="A43" s="1">
        <f>IF($H43="","",IFERROR(INDEX(Personas!$A$2:$A$1001,$H43),""))</f>
        <v/>
      </c>
      <c r="B43" s="1">
        <f>IF($H43="","",IFERROR(INDEX(Personas!$B$2:$B$1001,$H43),""))</f>
        <v/>
      </c>
      <c r="C43" s="1">
        <f>IF($H43="","",IFERROR(INDEX(Personas!$C$2:$C$1001,$H43),""))</f>
        <v/>
      </c>
      <c r="D43" s="1">
        <f>IF($H43="","",IFERROR(INDEX(Personas!$D$2:$D$1001,$H43),""))</f>
        <v/>
      </c>
      <c r="E43" s="1">
        <f>IF($H43="","",IFERROR(INDEX(Personas!$E$2:$E$1001,$H43),""))</f>
        <v/>
      </c>
      <c r="F43" s="1">
        <f>IF($H43="","",IFERROR(INDEX(Personas!$F$2:$F$1001,$H43),""))</f>
        <v/>
      </c>
      <c r="G43" s="1">
        <f>IF($H43="","",IFERROR(INDEX(Personas!$G$2:$G$1001,$H43),""))</f>
        <v/>
      </c>
      <c r="H43" s="1">
        <f>IF($B$3="","",IFERROR(AGGREGATE(15,6,(ROW(Personas!$H$2:$H$1001)-ROW(Personas!$H$2)+1)/(ISNUMBER(SEARCH($B$3,Personas!$H$2:$H$1001))),37),""))</f>
        <v/>
      </c>
    </row>
    <row r="44">
      <c r="A44" s="1">
        <f>IF($H44="","",IFERROR(INDEX(Personas!$A$2:$A$1001,$H44),""))</f>
        <v/>
      </c>
      <c r="B44" s="1">
        <f>IF($H44="","",IFERROR(INDEX(Personas!$B$2:$B$1001,$H44),""))</f>
        <v/>
      </c>
      <c r="C44" s="1">
        <f>IF($H44="","",IFERROR(INDEX(Personas!$C$2:$C$1001,$H44),""))</f>
        <v/>
      </c>
      <c r="D44" s="1">
        <f>IF($H44="","",IFERROR(INDEX(Personas!$D$2:$D$1001,$H44),""))</f>
        <v/>
      </c>
      <c r="E44" s="1">
        <f>IF($H44="","",IFERROR(INDEX(Personas!$E$2:$E$1001,$H44),""))</f>
        <v/>
      </c>
      <c r="F44" s="1">
        <f>IF($H44="","",IFERROR(INDEX(Personas!$F$2:$F$1001,$H44),""))</f>
        <v/>
      </c>
      <c r="G44" s="1">
        <f>IF($H44="","",IFERROR(INDEX(Personas!$G$2:$G$1001,$H44),""))</f>
        <v/>
      </c>
      <c r="H44" s="1">
        <f>IF($B$3="","",IFERROR(AGGREGATE(15,6,(ROW(Personas!$H$2:$H$1001)-ROW(Personas!$H$2)+1)/(ISNUMBER(SEARCH($B$3,Personas!$H$2:$H$1001))),38),""))</f>
        <v/>
      </c>
    </row>
    <row r="45">
      <c r="A45" s="1">
        <f>IF($H45="","",IFERROR(INDEX(Personas!$A$2:$A$1001,$H45),""))</f>
        <v/>
      </c>
      <c r="B45" s="1">
        <f>IF($H45="","",IFERROR(INDEX(Personas!$B$2:$B$1001,$H45),""))</f>
        <v/>
      </c>
      <c r="C45" s="1">
        <f>IF($H45="","",IFERROR(INDEX(Personas!$C$2:$C$1001,$H45),""))</f>
        <v/>
      </c>
      <c r="D45" s="1">
        <f>IF($H45="","",IFERROR(INDEX(Personas!$D$2:$D$1001,$H45),""))</f>
        <v/>
      </c>
      <c r="E45" s="1">
        <f>IF($H45="","",IFERROR(INDEX(Personas!$E$2:$E$1001,$H45),""))</f>
        <v/>
      </c>
      <c r="F45" s="1">
        <f>IF($H45="","",IFERROR(INDEX(Personas!$F$2:$F$1001,$H45),""))</f>
        <v/>
      </c>
      <c r="G45" s="1">
        <f>IF($H45="","",IFERROR(INDEX(Personas!$G$2:$G$1001,$H45),""))</f>
        <v/>
      </c>
      <c r="H45" s="1">
        <f>IF($B$3="","",IFERROR(AGGREGATE(15,6,(ROW(Personas!$H$2:$H$1001)-ROW(Personas!$H$2)+1)/(ISNUMBER(SEARCH($B$3,Personas!$H$2:$H$1001))),39),""))</f>
        <v/>
      </c>
    </row>
    <row r="46">
      <c r="A46" s="1">
        <f>IF($H46="","",IFERROR(INDEX(Personas!$A$2:$A$1001,$H46),""))</f>
        <v/>
      </c>
      <c r="B46" s="1">
        <f>IF($H46="","",IFERROR(INDEX(Personas!$B$2:$B$1001,$H46),""))</f>
        <v/>
      </c>
      <c r="C46" s="1">
        <f>IF($H46="","",IFERROR(INDEX(Personas!$C$2:$C$1001,$H46),""))</f>
        <v/>
      </c>
      <c r="D46" s="1">
        <f>IF($H46="","",IFERROR(INDEX(Personas!$D$2:$D$1001,$H46),""))</f>
        <v/>
      </c>
      <c r="E46" s="1">
        <f>IF($H46="","",IFERROR(INDEX(Personas!$E$2:$E$1001,$H46),""))</f>
        <v/>
      </c>
      <c r="F46" s="1">
        <f>IF($H46="","",IFERROR(INDEX(Personas!$F$2:$F$1001,$H46),""))</f>
        <v/>
      </c>
      <c r="G46" s="1">
        <f>IF($H46="","",IFERROR(INDEX(Personas!$G$2:$G$1001,$H46),""))</f>
        <v/>
      </c>
      <c r="H46" s="1">
        <f>IF($B$3="","",IFERROR(AGGREGATE(15,6,(ROW(Personas!$H$2:$H$1001)-ROW(Personas!$H$2)+1)/(ISNUMBER(SEARCH($B$3,Personas!$H$2:$H$1001))),40),""))</f>
        <v/>
      </c>
    </row>
    <row r="47">
      <c r="A47" s="1">
        <f>IF($H47="","",IFERROR(INDEX(Personas!$A$2:$A$1001,$H47),""))</f>
        <v/>
      </c>
      <c r="B47" s="1">
        <f>IF($H47="","",IFERROR(INDEX(Personas!$B$2:$B$1001,$H47),""))</f>
        <v/>
      </c>
      <c r="C47" s="1">
        <f>IF($H47="","",IFERROR(INDEX(Personas!$C$2:$C$1001,$H47),""))</f>
        <v/>
      </c>
      <c r="D47" s="1">
        <f>IF($H47="","",IFERROR(INDEX(Personas!$D$2:$D$1001,$H47),""))</f>
        <v/>
      </c>
      <c r="E47" s="1">
        <f>IF($H47="","",IFERROR(INDEX(Personas!$E$2:$E$1001,$H47),""))</f>
        <v/>
      </c>
      <c r="F47" s="1">
        <f>IF($H47="","",IFERROR(INDEX(Personas!$F$2:$F$1001,$H47),""))</f>
        <v/>
      </c>
      <c r="G47" s="1">
        <f>IF($H47="","",IFERROR(INDEX(Personas!$G$2:$G$1001,$H47),""))</f>
        <v/>
      </c>
      <c r="H47" s="1">
        <f>IF($B$3="","",IFERROR(AGGREGATE(15,6,(ROW(Personas!$H$2:$H$1001)-ROW(Personas!$H$2)+1)/(ISNUMBER(SEARCH($B$3,Personas!$H$2:$H$1001))),41),""))</f>
        <v/>
      </c>
    </row>
    <row r="48">
      <c r="A48" s="1">
        <f>IF($H48="","",IFERROR(INDEX(Personas!$A$2:$A$1001,$H48),""))</f>
        <v/>
      </c>
      <c r="B48" s="1">
        <f>IF($H48="","",IFERROR(INDEX(Personas!$B$2:$B$1001,$H48),""))</f>
        <v/>
      </c>
      <c r="C48" s="1">
        <f>IF($H48="","",IFERROR(INDEX(Personas!$C$2:$C$1001,$H48),""))</f>
        <v/>
      </c>
      <c r="D48" s="1">
        <f>IF($H48="","",IFERROR(INDEX(Personas!$D$2:$D$1001,$H48),""))</f>
        <v/>
      </c>
      <c r="E48" s="1">
        <f>IF($H48="","",IFERROR(INDEX(Personas!$E$2:$E$1001,$H48),""))</f>
        <v/>
      </c>
      <c r="F48" s="1">
        <f>IF($H48="","",IFERROR(INDEX(Personas!$F$2:$F$1001,$H48),""))</f>
        <v/>
      </c>
      <c r="G48" s="1">
        <f>IF($H48="","",IFERROR(INDEX(Personas!$G$2:$G$1001,$H48),""))</f>
        <v/>
      </c>
      <c r="H48" s="1">
        <f>IF($B$3="","",IFERROR(AGGREGATE(15,6,(ROW(Personas!$H$2:$H$1001)-ROW(Personas!$H$2)+1)/(ISNUMBER(SEARCH($B$3,Personas!$H$2:$H$1001))),42),""))</f>
        <v/>
      </c>
    </row>
    <row r="49">
      <c r="A49" s="1">
        <f>IF($H49="","",IFERROR(INDEX(Personas!$A$2:$A$1001,$H49),""))</f>
        <v/>
      </c>
      <c r="B49" s="1">
        <f>IF($H49="","",IFERROR(INDEX(Personas!$B$2:$B$1001,$H49),""))</f>
        <v/>
      </c>
      <c r="C49" s="1">
        <f>IF($H49="","",IFERROR(INDEX(Personas!$C$2:$C$1001,$H49),""))</f>
        <v/>
      </c>
      <c r="D49" s="1">
        <f>IF($H49="","",IFERROR(INDEX(Personas!$D$2:$D$1001,$H49),""))</f>
        <v/>
      </c>
      <c r="E49" s="1">
        <f>IF($H49="","",IFERROR(INDEX(Personas!$E$2:$E$1001,$H49),""))</f>
        <v/>
      </c>
      <c r="F49" s="1">
        <f>IF($H49="","",IFERROR(INDEX(Personas!$F$2:$F$1001,$H49),""))</f>
        <v/>
      </c>
      <c r="G49" s="1">
        <f>IF($H49="","",IFERROR(INDEX(Personas!$G$2:$G$1001,$H49),""))</f>
        <v/>
      </c>
      <c r="H49" s="1">
        <f>IF($B$3="","",IFERROR(AGGREGATE(15,6,(ROW(Personas!$H$2:$H$1001)-ROW(Personas!$H$2)+1)/(ISNUMBER(SEARCH($B$3,Personas!$H$2:$H$1001))),43),""))</f>
        <v/>
      </c>
    </row>
    <row r="50">
      <c r="A50" s="1">
        <f>IF($H50="","",IFERROR(INDEX(Personas!$A$2:$A$1001,$H50),""))</f>
        <v/>
      </c>
      <c r="B50" s="1">
        <f>IF($H50="","",IFERROR(INDEX(Personas!$B$2:$B$1001,$H50),""))</f>
        <v/>
      </c>
      <c r="C50" s="1">
        <f>IF($H50="","",IFERROR(INDEX(Personas!$C$2:$C$1001,$H50),""))</f>
        <v/>
      </c>
      <c r="D50" s="1">
        <f>IF($H50="","",IFERROR(INDEX(Personas!$D$2:$D$1001,$H50),""))</f>
        <v/>
      </c>
      <c r="E50" s="1">
        <f>IF($H50="","",IFERROR(INDEX(Personas!$E$2:$E$1001,$H50),""))</f>
        <v/>
      </c>
      <c r="F50" s="1">
        <f>IF($H50="","",IFERROR(INDEX(Personas!$F$2:$F$1001,$H50),""))</f>
        <v/>
      </c>
      <c r="G50" s="1">
        <f>IF($H50="","",IFERROR(INDEX(Personas!$G$2:$G$1001,$H50),""))</f>
        <v/>
      </c>
      <c r="H50" s="1">
        <f>IF($B$3="","",IFERROR(AGGREGATE(15,6,(ROW(Personas!$H$2:$H$1001)-ROW(Personas!$H$2)+1)/(ISNUMBER(SEARCH($B$3,Personas!$H$2:$H$1001))),44),""))</f>
        <v/>
      </c>
    </row>
    <row r="51">
      <c r="A51" s="1">
        <f>IF($H51="","",IFERROR(INDEX(Personas!$A$2:$A$1001,$H51),""))</f>
        <v/>
      </c>
      <c r="B51" s="1">
        <f>IF($H51="","",IFERROR(INDEX(Personas!$B$2:$B$1001,$H51),""))</f>
        <v/>
      </c>
      <c r="C51" s="1">
        <f>IF($H51="","",IFERROR(INDEX(Personas!$C$2:$C$1001,$H51),""))</f>
        <v/>
      </c>
      <c r="D51" s="1">
        <f>IF($H51="","",IFERROR(INDEX(Personas!$D$2:$D$1001,$H51),""))</f>
        <v/>
      </c>
      <c r="E51" s="1">
        <f>IF($H51="","",IFERROR(INDEX(Personas!$E$2:$E$1001,$H51),""))</f>
        <v/>
      </c>
      <c r="F51" s="1">
        <f>IF($H51="","",IFERROR(INDEX(Personas!$F$2:$F$1001,$H51),""))</f>
        <v/>
      </c>
      <c r="G51" s="1">
        <f>IF($H51="","",IFERROR(INDEX(Personas!$G$2:$G$1001,$H51),""))</f>
        <v/>
      </c>
      <c r="H51" s="1">
        <f>IF($B$3="","",IFERROR(AGGREGATE(15,6,(ROW(Personas!$H$2:$H$1001)-ROW(Personas!$H$2)+1)/(ISNUMBER(SEARCH($B$3,Personas!$H$2:$H$1001))),45),""))</f>
        <v/>
      </c>
    </row>
    <row r="52">
      <c r="A52" s="1">
        <f>IF($H52="","",IFERROR(INDEX(Personas!$A$2:$A$1001,$H52),""))</f>
        <v/>
      </c>
      <c r="B52" s="1">
        <f>IF($H52="","",IFERROR(INDEX(Personas!$B$2:$B$1001,$H52),""))</f>
        <v/>
      </c>
      <c r="C52" s="1">
        <f>IF($H52="","",IFERROR(INDEX(Personas!$C$2:$C$1001,$H52),""))</f>
        <v/>
      </c>
      <c r="D52" s="1">
        <f>IF($H52="","",IFERROR(INDEX(Personas!$D$2:$D$1001,$H52),""))</f>
        <v/>
      </c>
      <c r="E52" s="1">
        <f>IF($H52="","",IFERROR(INDEX(Personas!$E$2:$E$1001,$H52),""))</f>
        <v/>
      </c>
      <c r="F52" s="1">
        <f>IF($H52="","",IFERROR(INDEX(Personas!$F$2:$F$1001,$H52),""))</f>
        <v/>
      </c>
      <c r="G52" s="1">
        <f>IF($H52="","",IFERROR(INDEX(Personas!$G$2:$G$1001,$H52),""))</f>
        <v/>
      </c>
      <c r="H52" s="1">
        <f>IF($B$3="","",IFERROR(AGGREGATE(15,6,(ROW(Personas!$H$2:$H$1001)-ROW(Personas!$H$2)+1)/(ISNUMBER(SEARCH($B$3,Personas!$H$2:$H$1001))),46),""))</f>
        <v/>
      </c>
    </row>
    <row r="53">
      <c r="A53" s="1">
        <f>IF($H53="","",IFERROR(INDEX(Personas!$A$2:$A$1001,$H53),""))</f>
        <v/>
      </c>
      <c r="B53" s="1">
        <f>IF($H53="","",IFERROR(INDEX(Personas!$B$2:$B$1001,$H53),""))</f>
        <v/>
      </c>
      <c r="C53" s="1">
        <f>IF($H53="","",IFERROR(INDEX(Personas!$C$2:$C$1001,$H53),""))</f>
        <v/>
      </c>
      <c r="D53" s="1">
        <f>IF($H53="","",IFERROR(INDEX(Personas!$D$2:$D$1001,$H53),""))</f>
        <v/>
      </c>
      <c r="E53" s="1">
        <f>IF($H53="","",IFERROR(INDEX(Personas!$E$2:$E$1001,$H53),""))</f>
        <v/>
      </c>
      <c r="F53" s="1">
        <f>IF($H53="","",IFERROR(INDEX(Personas!$F$2:$F$1001,$H53),""))</f>
        <v/>
      </c>
      <c r="G53" s="1">
        <f>IF($H53="","",IFERROR(INDEX(Personas!$G$2:$G$1001,$H53),""))</f>
        <v/>
      </c>
      <c r="H53" s="1">
        <f>IF($B$3="","",IFERROR(AGGREGATE(15,6,(ROW(Personas!$H$2:$H$1001)-ROW(Personas!$H$2)+1)/(ISNUMBER(SEARCH($B$3,Personas!$H$2:$H$1001))),47),""))</f>
        <v/>
      </c>
    </row>
    <row r="54">
      <c r="A54" s="1">
        <f>IF($H54="","",IFERROR(INDEX(Personas!$A$2:$A$1001,$H54),""))</f>
        <v/>
      </c>
      <c r="B54" s="1">
        <f>IF($H54="","",IFERROR(INDEX(Personas!$B$2:$B$1001,$H54),""))</f>
        <v/>
      </c>
      <c r="C54" s="1">
        <f>IF($H54="","",IFERROR(INDEX(Personas!$C$2:$C$1001,$H54),""))</f>
        <v/>
      </c>
      <c r="D54" s="1">
        <f>IF($H54="","",IFERROR(INDEX(Personas!$D$2:$D$1001,$H54),""))</f>
        <v/>
      </c>
      <c r="E54" s="1">
        <f>IF($H54="","",IFERROR(INDEX(Personas!$E$2:$E$1001,$H54),""))</f>
        <v/>
      </c>
      <c r="F54" s="1">
        <f>IF($H54="","",IFERROR(INDEX(Personas!$F$2:$F$1001,$H54),""))</f>
        <v/>
      </c>
      <c r="G54" s="1">
        <f>IF($H54="","",IFERROR(INDEX(Personas!$G$2:$G$1001,$H54),""))</f>
        <v/>
      </c>
      <c r="H54" s="1">
        <f>IF($B$3="","",IFERROR(AGGREGATE(15,6,(ROW(Personas!$H$2:$H$1001)-ROW(Personas!$H$2)+1)/(ISNUMBER(SEARCH($B$3,Personas!$H$2:$H$1001))),48),""))</f>
        <v/>
      </c>
    </row>
    <row r="55">
      <c r="A55" s="1">
        <f>IF($H55="","",IFERROR(INDEX(Personas!$A$2:$A$1001,$H55),""))</f>
        <v/>
      </c>
      <c r="B55" s="1">
        <f>IF($H55="","",IFERROR(INDEX(Personas!$B$2:$B$1001,$H55),""))</f>
        <v/>
      </c>
      <c r="C55" s="1">
        <f>IF($H55="","",IFERROR(INDEX(Personas!$C$2:$C$1001,$H55),""))</f>
        <v/>
      </c>
      <c r="D55" s="1">
        <f>IF($H55="","",IFERROR(INDEX(Personas!$D$2:$D$1001,$H55),""))</f>
        <v/>
      </c>
      <c r="E55" s="1">
        <f>IF($H55="","",IFERROR(INDEX(Personas!$E$2:$E$1001,$H55),""))</f>
        <v/>
      </c>
      <c r="F55" s="1">
        <f>IF($H55="","",IFERROR(INDEX(Personas!$F$2:$F$1001,$H55),""))</f>
        <v/>
      </c>
      <c r="G55" s="1">
        <f>IF($H55="","",IFERROR(INDEX(Personas!$G$2:$G$1001,$H55),""))</f>
        <v/>
      </c>
      <c r="H55" s="1">
        <f>IF($B$3="","",IFERROR(AGGREGATE(15,6,(ROW(Personas!$H$2:$H$1001)-ROW(Personas!$H$2)+1)/(ISNUMBER(SEARCH($B$3,Personas!$H$2:$H$1001))),49),""))</f>
        <v/>
      </c>
    </row>
    <row r="56">
      <c r="A56" s="1">
        <f>IF($H56="","",IFERROR(INDEX(Personas!$A$2:$A$1001,$H56),""))</f>
        <v/>
      </c>
      <c r="B56" s="1">
        <f>IF($H56="","",IFERROR(INDEX(Personas!$B$2:$B$1001,$H56),""))</f>
        <v/>
      </c>
      <c r="C56" s="1">
        <f>IF($H56="","",IFERROR(INDEX(Personas!$C$2:$C$1001,$H56),""))</f>
        <v/>
      </c>
      <c r="D56" s="1">
        <f>IF($H56="","",IFERROR(INDEX(Personas!$D$2:$D$1001,$H56),""))</f>
        <v/>
      </c>
      <c r="E56" s="1">
        <f>IF($H56="","",IFERROR(INDEX(Personas!$E$2:$E$1001,$H56),""))</f>
        <v/>
      </c>
      <c r="F56" s="1">
        <f>IF($H56="","",IFERROR(INDEX(Personas!$F$2:$F$1001,$H56),""))</f>
        <v/>
      </c>
      <c r="G56" s="1">
        <f>IF($H56="","",IFERROR(INDEX(Personas!$G$2:$G$1001,$H56),""))</f>
        <v/>
      </c>
      <c r="H56" s="1">
        <f>IF($B$3="","",IFERROR(AGGREGATE(15,6,(ROW(Personas!$H$2:$H$1001)-ROW(Personas!$H$2)+1)/(ISNUMBER(SEARCH($B$3,Personas!$H$2:$H$1001))),50),""))</f>
        <v/>
      </c>
    </row>
    <row r="57">
      <c r="A57" s="1">
        <f>IF($H57="","",IFERROR(INDEX(Personas!$A$2:$A$1001,$H57),""))</f>
        <v/>
      </c>
      <c r="B57" s="1">
        <f>IF($H57="","",IFERROR(INDEX(Personas!$B$2:$B$1001,$H57),""))</f>
        <v/>
      </c>
      <c r="C57" s="1">
        <f>IF($H57="","",IFERROR(INDEX(Personas!$C$2:$C$1001,$H57),""))</f>
        <v/>
      </c>
      <c r="D57" s="1">
        <f>IF($H57="","",IFERROR(INDEX(Personas!$D$2:$D$1001,$H57),""))</f>
        <v/>
      </c>
      <c r="E57" s="1">
        <f>IF($H57="","",IFERROR(INDEX(Personas!$E$2:$E$1001,$H57),""))</f>
        <v/>
      </c>
      <c r="F57" s="1">
        <f>IF($H57="","",IFERROR(INDEX(Personas!$F$2:$F$1001,$H57),""))</f>
        <v/>
      </c>
      <c r="G57" s="1">
        <f>IF($H57="","",IFERROR(INDEX(Personas!$G$2:$G$1001,$H57),""))</f>
        <v/>
      </c>
      <c r="H57" s="1">
        <f>IF($B$3="","",IFERROR(AGGREGATE(15,6,(ROW(Personas!$H$2:$H$1001)-ROW(Personas!$H$2)+1)/(ISNUMBER(SEARCH($B$3,Personas!$H$2:$H$1001))),51),""))</f>
        <v/>
      </c>
    </row>
    <row r="58">
      <c r="A58" s="1">
        <f>IF($H58="","",IFERROR(INDEX(Personas!$A$2:$A$1001,$H58),""))</f>
        <v/>
      </c>
      <c r="B58" s="1">
        <f>IF($H58="","",IFERROR(INDEX(Personas!$B$2:$B$1001,$H58),""))</f>
        <v/>
      </c>
      <c r="C58" s="1">
        <f>IF($H58="","",IFERROR(INDEX(Personas!$C$2:$C$1001,$H58),""))</f>
        <v/>
      </c>
      <c r="D58" s="1">
        <f>IF($H58="","",IFERROR(INDEX(Personas!$D$2:$D$1001,$H58),""))</f>
        <v/>
      </c>
      <c r="E58" s="1">
        <f>IF($H58="","",IFERROR(INDEX(Personas!$E$2:$E$1001,$H58),""))</f>
        <v/>
      </c>
      <c r="F58" s="1">
        <f>IF($H58="","",IFERROR(INDEX(Personas!$F$2:$F$1001,$H58),""))</f>
        <v/>
      </c>
      <c r="G58" s="1">
        <f>IF($H58="","",IFERROR(INDEX(Personas!$G$2:$G$1001,$H58),""))</f>
        <v/>
      </c>
      <c r="H58" s="1">
        <f>IF($B$3="","",IFERROR(AGGREGATE(15,6,(ROW(Personas!$H$2:$H$1001)-ROW(Personas!$H$2)+1)/(ISNUMBER(SEARCH($B$3,Personas!$H$2:$H$1001))),52),""))</f>
        <v/>
      </c>
    </row>
    <row r="59">
      <c r="A59" s="1">
        <f>IF($H59="","",IFERROR(INDEX(Personas!$A$2:$A$1001,$H59),""))</f>
        <v/>
      </c>
      <c r="B59" s="1">
        <f>IF($H59="","",IFERROR(INDEX(Personas!$B$2:$B$1001,$H59),""))</f>
        <v/>
      </c>
      <c r="C59" s="1">
        <f>IF($H59="","",IFERROR(INDEX(Personas!$C$2:$C$1001,$H59),""))</f>
        <v/>
      </c>
      <c r="D59" s="1">
        <f>IF($H59="","",IFERROR(INDEX(Personas!$D$2:$D$1001,$H59),""))</f>
        <v/>
      </c>
      <c r="E59" s="1">
        <f>IF($H59="","",IFERROR(INDEX(Personas!$E$2:$E$1001,$H59),""))</f>
        <v/>
      </c>
      <c r="F59" s="1">
        <f>IF($H59="","",IFERROR(INDEX(Personas!$F$2:$F$1001,$H59),""))</f>
        <v/>
      </c>
      <c r="G59" s="1">
        <f>IF($H59="","",IFERROR(INDEX(Personas!$G$2:$G$1001,$H59),""))</f>
        <v/>
      </c>
      <c r="H59" s="1">
        <f>IF($B$3="","",IFERROR(AGGREGATE(15,6,(ROW(Personas!$H$2:$H$1001)-ROW(Personas!$H$2)+1)/(ISNUMBER(SEARCH($B$3,Personas!$H$2:$H$1001))),53),""))</f>
        <v/>
      </c>
    </row>
    <row r="60">
      <c r="A60" s="1">
        <f>IF($H60="","",IFERROR(INDEX(Personas!$A$2:$A$1001,$H60),""))</f>
        <v/>
      </c>
      <c r="B60" s="1">
        <f>IF($H60="","",IFERROR(INDEX(Personas!$B$2:$B$1001,$H60),""))</f>
        <v/>
      </c>
      <c r="C60" s="1">
        <f>IF($H60="","",IFERROR(INDEX(Personas!$C$2:$C$1001,$H60),""))</f>
        <v/>
      </c>
      <c r="D60" s="1">
        <f>IF($H60="","",IFERROR(INDEX(Personas!$D$2:$D$1001,$H60),""))</f>
        <v/>
      </c>
      <c r="E60" s="1">
        <f>IF($H60="","",IFERROR(INDEX(Personas!$E$2:$E$1001,$H60),""))</f>
        <v/>
      </c>
      <c r="F60" s="1">
        <f>IF($H60="","",IFERROR(INDEX(Personas!$F$2:$F$1001,$H60),""))</f>
        <v/>
      </c>
      <c r="G60" s="1">
        <f>IF($H60="","",IFERROR(INDEX(Personas!$G$2:$G$1001,$H60),""))</f>
        <v/>
      </c>
      <c r="H60" s="1">
        <f>IF($B$3="","",IFERROR(AGGREGATE(15,6,(ROW(Personas!$H$2:$H$1001)-ROW(Personas!$H$2)+1)/(ISNUMBER(SEARCH($B$3,Personas!$H$2:$H$1001))),54),""))</f>
        <v/>
      </c>
    </row>
    <row r="61">
      <c r="A61" s="1">
        <f>IF($H61="","",IFERROR(INDEX(Personas!$A$2:$A$1001,$H61),""))</f>
        <v/>
      </c>
      <c r="B61" s="1">
        <f>IF($H61="","",IFERROR(INDEX(Personas!$B$2:$B$1001,$H61),""))</f>
        <v/>
      </c>
      <c r="C61" s="1">
        <f>IF($H61="","",IFERROR(INDEX(Personas!$C$2:$C$1001,$H61),""))</f>
        <v/>
      </c>
      <c r="D61" s="1">
        <f>IF($H61="","",IFERROR(INDEX(Personas!$D$2:$D$1001,$H61),""))</f>
        <v/>
      </c>
      <c r="E61" s="1">
        <f>IF($H61="","",IFERROR(INDEX(Personas!$E$2:$E$1001,$H61),""))</f>
        <v/>
      </c>
      <c r="F61" s="1">
        <f>IF($H61="","",IFERROR(INDEX(Personas!$F$2:$F$1001,$H61),""))</f>
        <v/>
      </c>
      <c r="G61" s="1">
        <f>IF($H61="","",IFERROR(INDEX(Personas!$G$2:$G$1001,$H61),""))</f>
        <v/>
      </c>
      <c r="H61" s="1">
        <f>IF($B$3="","",IFERROR(AGGREGATE(15,6,(ROW(Personas!$H$2:$H$1001)-ROW(Personas!$H$2)+1)/(ISNUMBER(SEARCH($B$3,Personas!$H$2:$H$1001))),55),""))</f>
        <v/>
      </c>
    </row>
    <row r="62">
      <c r="A62" s="1">
        <f>IF($H62="","",IFERROR(INDEX(Personas!$A$2:$A$1001,$H62),""))</f>
        <v/>
      </c>
      <c r="B62" s="1">
        <f>IF($H62="","",IFERROR(INDEX(Personas!$B$2:$B$1001,$H62),""))</f>
        <v/>
      </c>
      <c r="C62" s="1">
        <f>IF($H62="","",IFERROR(INDEX(Personas!$C$2:$C$1001,$H62),""))</f>
        <v/>
      </c>
      <c r="D62" s="1">
        <f>IF($H62="","",IFERROR(INDEX(Personas!$D$2:$D$1001,$H62),""))</f>
        <v/>
      </c>
      <c r="E62" s="1">
        <f>IF($H62="","",IFERROR(INDEX(Personas!$E$2:$E$1001,$H62),""))</f>
        <v/>
      </c>
      <c r="F62" s="1">
        <f>IF($H62="","",IFERROR(INDEX(Personas!$F$2:$F$1001,$H62),""))</f>
        <v/>
      </c>
      <c r="G62" s="1">
        <f>IF($H62="","",IFERROR(INDEX(Personas!$G$2:$G$1001,$H62),""))</f>
        <v/>
      </c>
      <c r="H62" s="1">
        <f>IF($B$3="","",IFERROR(AGGREGATE(15,6,(ROW(Personas!$H$2:$H$1001)-ROW(Personas!$H$2)+1)/(ISNUMBER(SEARCH($B$3,Personas!$H$2:$H$1001))),56),""))</f>
        <v/>
      </c>
    </row>
    <row r="63">
      <c r="A63" s="1">
        <f>IF($H63="","",IFERROR(INDEX(Personas!$A$2:$A$1001,$H63),""))</f>
        <v/>
      </c>
      <c r="B63" s="1">
        <f>IF($H63="","",IFERROR(INDEX(Personas!$B$2:$B$1001,$H63),""))</f>
        <v/>
      </c>
      <c r="C63" s="1">
        <f>IF($H63="","",IFERROR(INDEX(Personas!$C$2:$C$1001,$H63),""))</f>
        <v/>
      </c>
      <c r="D63" s="1">
        <f>IF($H63="","",IFERROR(INDEX(Personas!$D$2:$D$1001,$H63),""))</f>
        <v/>
      </c>
      <c r="E63" s="1">
        <f>IF($H63="","",IFERROR(INDEX(Personas!$E$2:$E$1001,$H63),""))</f>
        <v/>
      </c>
      <c r="F63" s="1">
        <f>IF($H63="","",IFERROR(INDEX(Personas!$F$2:$F$1001,$H63),""))</f>
        <v/>
      </c>
      <c r="G63" s="1">
        <f>IF($H63="","",IFERROR(INDEX(Personas!$G$2:$G$1001,$H63),""))</f>
        <v/>
      </c>
      <c r="H63" s="1">
        <f>IF($B$3="","",IFERROR(AGGREGATE(15,6,(ROW(Personas!$H$2:$H$1001)-ROW(Personas!$H$2)+1)/(ISNUMBER(SEARCH($B$3,Personas!$H$2:$H$1001))),57),""))</f>
        <v/>
      </c>
    </row>
    <row r="64">
      <c r="A64" s="1">
        <f>IF($H64="","",IFERROR(INDEX(Personas!$A$2:$A$1001,$H64),""))</f>
        <v/>
      </c>
      <c r="B64" s="1">
        <f>IF($H64="","",IFERROR(INDEX(Personas!$B$2:$B$1001,$H64),""))</f>
        <v/>
      </c>
      <c r="C64" s="1">
        <f>IF($H64="","",IFERROR(INDEX(Personas!$C$2:$C$1001,$H64),""))</f>
        <v/>
      </c>
      <c r="D64" s="1">
        <f>IF($H64="","",IFERROR(INDEX(Personas!$D$2:$D$1001,$H64),""))</f>
        <v/>
      </c>
      <c r="E64" s="1">
        <f>IF($H64="","",IFERROR(INDEX(Personas!$E$2:$E$1001,$H64),""))</f>
        <v/>
      </c>
      <c r="F64" s="1">
        <f>IF($H64="","",IFERROR(INDEX(Personas!$F$2:$F$1001,$H64),""))</f>
        <v/>
      </c>
      <c r="G64" s="1">
        <f>IF($H64="","",IFERROR(INDEX(Personas!$G$2:$G$1001,$H64),""))</f>
        <v/>
      </c>
      <c r="H64" s="1">
        <f>IF($B$3="","",IFERROR(AGGREGATE(15,6,(ROW(Personas!$H$2:$H$1001)-ROW(Personas!$H$2)+1)/(ISNUMBER(SEARCH($B$3,Personas!$H$2:$H$1001))),58),""))</f>
        <v/>
      </c>
    </row>
    <row r="65">
      <c r="A65" s="1">
        <f>IF($H65="","",IFERROR(INDEX(Personas!$A$2:$A$1001,$H65),""))</f>
        <v/>
      </c>
      <c r="B65" s="1">
        <f>IF($H65="","",IFERROR(INDEX(Personas!$B$2:$B$1001,$H65),""))</f>
        <v/>
      </c>
      <c r="C65" s="1">
        <f>IF($H65="","",IFERROR(INDEX(Personas!$C$2:$C$1001,$H65),""))</f>
        <v/>
      </c>
      <c r="D65" s="1">
        <f>IF($H65="","",IFERROR(INDEX(Personas!$D$2:$D$1001,$H65),""))</f>
        <v/>
      </c>
      <c r="E65" s="1">
        <f>IF($H65="","",IFERROR(INDEX(Personas!$E$2:$E$1001,$H65),""))</f>
        <v/>
      </c>
      <c r="F65" s="1">
        <f>IF($H65="","",IFERROR(INDEX(Personas!$F$2:$F$1001,$H65),""))</f>
        <v/>
      </c>
      <c r="G65" s="1">
        <f>IF($H65="","",IFERROR(INDEX(Personas!$G$2:$G$1001,$H65),""))</f>
        <v/>
      </c>
      <c r="H65" s="1">
        <f>IF($B$3="","",IFERROR(AGGREGATE(15,6,(ROW(Personas!$H$2:$H$1001)-ROW(Personas!$H$2)+1)/(ISNUMBER(SEARCH($B$3,Personas!$H$2:$H$1001))),59),""))</f>
        <v/>
      </c>
    </row>
    <row r="66">
      <c r="A66" s="1">
        <f>IF($H66="","",IFERROR(INDEX(Personas!$A$2:$A$1001,$H66),""))</f>
        <v/>
      </c>
      <c r="B66" s="1">
        <f>IF($H66="","",IFERROR(INDEX(Personas!$B$2:$B$1001,$H66),""))</f>
        <v/>
      </c>
      <c r="C66" s="1">
        <f>IF($H66="","",IFERROR(INDEX(Personas!$C$2:$C$1001,$H66),""))</f>
        <v/>
      </c>
      <c r="D66" s="1">
        <f>IF($H66="","",IFERROR(INDEX(Personas!$D$2:$D$1001,$H66),""))</f>
        <v/>
      </c>
      <c r="E66" s="1">
        <f>IF($H66="","",IFERROR(INDEX(Personas!$E$2:$E$1001,$H66),""))</f>
        <v/>
      </c>
      <c r="F66" s="1">
        <f>IF($H66="","",IFERROR(INDEX(Personas!$F$2:$F$1001,$H66),""))</f>
        <v/>
      </c>
      <c r="G66" s="1">
        <f>IF($H66="","",IFERROR(INDEX(Personas!$G$2:$G$1001,$H66),""))</f>
        <v/>
      </c>
      <c r="H66" s="1">
        <f>IF($B$3="","",IFERROR(AGGREGATE(15,6,(ROW(Personas!$H$2:$H$1001)-ROW(Personas!$H$2)+1)/(ISNUMBER(SEARCH($B$3,Personas!$H$2:$H$1001))),60),""))</f>
        <v/>
      </c>
    </row>
  </sheetData>
  <mergeCells count="2">
    <mergeCell ref="A1:G1"/>
    <mergeCell ref="A4:G4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4" customWidth="1"/>
    <col min="3" max="3" width="18" customWidth="1"/>
    <col min="4" max="4" width="14" customWidth="1"/>
    <col min="5" max="5" width="16" customWidth="1"/>
    <col min="6" max="6" width="20" customWidth="1"/>
    <col min="7" max="7" width="28" customWidth="1"/>
    <col min="8" max="8" width="2" hidden="1" customWidth="1"/>
  </cols>
  <sheetData>
    <row r="1">
      <c r="A1" t="inlineStr" s="2">
        <is>
          <t>Nombre completo</t>
        </is>
      </c>
      <c r="B1" t="inlineStr" s="2">
        <is>
          <t>Lista / promotor</t>
        </is>
      </c>
      <c r="C1" t="inlineStr" s="2">
        <is>
          <t>Tipo de lista</t>
        </is>
      </c>
      <c r="D1" t="inlineStr" s="2">
        <is>
          <t>Estado</t>
        </is>
      </c>
      <c r="E1" t="inlineStr" s="2">
        <is>
          <t>Hora de ingreso</t>
        </is>
      </c>
      <c r="F1" t="inlineStr" s="2">
        <is>
          <t>Fecha de nacimiento</t>
        </is>
      </c>
      <c r="G1" t="inlineStr" s="2">
        <is>
          <t>Detalle</t>
        </is>
      </c>
      <c r="H1" t="inlineStr" s="2">
        <is>
          <t>Búsqueda</t>
        </is>
      </c>
    </row>
    <row r="2">
      <c r="A2" t="inlineStr" s="1">
        <is>
          <t>Ana Gómez</t>
        </is>
      </c>
      <c r="B2" t="inlineStr" s="1">
        <is>
          <t>CINTIA DÍAZ</t>
        </is>
      </c>
      <c r="C2" t="inlineStr" s="1">
        <is>
          <t>Promotor</t>
        </is>
      </c>
      <c r="D2" t="inlineStr" s="4">
        <is>
          <t>Pendiente</t>
        </is>
      </c>
      <c r="E2" s="1"/>
      <c r="F2" s="1"/>
      <c r="G2" t="inlineStr" s="1">
        <is>
          <t>Lista de promotor</t>
        </is>
      </c>
      <c r="H2" t="inlineStr" s="1">
        <is>
          <t>Ana Gómez CINTIA DÍAZ Promotor</t>
        </is>
      </c>
    </row>
    <row r="3">
      <c r="A3" t="inlineStr" s="1">
        <is>
          <t>Juan Pérez</t>
        </is>
      </c>
      <c r="B3" t="inlineStr" s="1">
        <is>
          <t>CUMPLEAÑOS - SOFÍA MARTÍNEZ</t>
        </is>
      </c>
      <c r="C3" t="inlineStr" s="1">
        <is>
          <t>Cumpleaños</t>
        </is>
      </c>
      <c r="D3" t="inlineStr" s="4">
        <is>
          <t>Pendiente</t>
        </is>
      </c>
      <c r="E3" s="1"/>
      <c r="F3" s="1"/>
      <c r="G3" t="inlineStr" s="1">
        <is>
          <t>Invitado/a de cumpleaños</t>
        </is>
      </c>
      <c r="H3" t="inlineStr" s="1">
        <is>
          <t>Juan Pérez CUMPLEAÑOS - SOFÍA MARTÍNEZ Cumpleaños</t>
        </is>
      </c>
    </row>
    <row r="4">
      <c r="A4" t="inlineStr" s="1">
        <is>
          <t>Sofía Martínez</t>
        </is>
      </c>
      <c r="B4" t="inlineStr" s="1">
        <is>
          <t>CUMPLEAÑOS - SOFÍA MARTÍNEZ</t>
        </is>
      </c>
      <c r="C4" t="inlineStr" s="1">
        <is>
          <t>Cumpleaños</t>
        </is>
      </c>
      <c r="D4" t="inlineStr" s="3">
        <is>
          <t>Ingresó</t>
        </is>
      </c>
      <c r="E4" t="inlineStr" s="1">
        <is>
          <t>01:15</t>
        </is>
      </c>
      <c r="F4" t="inlineStr" s="1">
        <is>
          <t>2000-08-01</t>
        </is>
      </c>
      <c r="G4" t="inlineStr" s="1">
        <is>
          <t>Cumpleañero/a</t>
        </is>
      </c>
      <c r="H4" t="inlineStr" s="1">
        <is>
          <t>Sofía Martínez CUMPLEAÑOS - SOFÍA MARTÍNEZ Cumpleaños</t>
        </is>
      </c>
    </row>
    <row r="5">
      <c r="A5" t="inlineStr" s="1">
        <is>
          <t>Luis Promo</t>
        </is>
      </c>
      <c r="B5" t="inlineStr" s="1">
        <is>
          <t>PROMOS</t>
        </is>
      </c>
      <c r="C5" t="inlineStr" s="1">
        <is>
          <t>PROMOS</t>
        </is>
      </c>
      <c r="D5" t="inlineStr" s="4">
        <is>
          <t>Pendiente</t>
        </is>
      </c>
      <c r="E5" s="1"/>
      <c r="F5" s="1"/>
      <c r="G5" t="inlineStr" s="1">
        <is>
          <t>Lista automática PROMOS</t>
        </is>
      </c>
      <c r="H5" t="inlineStr" s="1">
        <is>
          <t>Luis Promo PROMOS PROMOS</t>
        </is>
      </c>
    </row>
    <row r="6">
      <c r="A6" t="inlineStr" s="1">
        <is>
          <t>María Común</t>
        </is>
      </c>
      <c r="B6" t="inlineStr" s="1">
        <is>
          <t>LISTA COMÚN</t>
        </is>
      </c>
      <c r="C6" t="inlineStr" s="1">
        <is>
          <t>Lista común</t>
        </is>
      </c>
      <c r="D6" t="inlineStr" s="4">
        <is>
          <t>Pendiente</t>
        </is>
      </c>
      <c r="E6" s="1"/>
      <c r="F6" s="1"/>
      <c r="G6" t="inlineStr" s="1">
        <is>
          <t>Lista común</t>
        </is>
      </c>
      <c r="H6" t="inlineStr" s="1">
        <is>
          <t>María Común LISTA COMÚN Lista común</t>
        </is>
      </c>
    </row>
  </sheetData>
  <autoFilter ref="A1:G6"/>
</worksheet>
</file>